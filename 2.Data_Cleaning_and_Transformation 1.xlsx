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BUSINESS ANALYSTS\"/>
    </mc:Choice>
  </mc:AlternateContent>
  <xr:revisionPtr revIDLastSave="0" documentId="13_ncr:1_{8EDE7798-A791-4C85-90C9-B0B8CBC2EE00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Instructions" sheetId="1" r:id="rId1"/>
    <sheet name="Product Inventory Data" sheetId="2" r:id="rId2"/>
    <sheet name="Product_Inventory_Data" sheetId="6" r:id="rId3"/>
    <sheet name="Customer_Orders_Data_" sheetId="8" r:id="rId4"/>
    <sheet name="Customer_Orders_Data" sheetId="7" r:id="rId5"/>
  </sheets>
  <definedNames>
    <definedName name="ExternalData_2" localSheetId="2" hidden="1">Product_Inventory_Data!$A$1:$I$22</definedName>
    <definedName name="ExternalData_3" localSheetId="4" hidden="1">Customer_Orders_Data!$A$1:$I$21</definedName>
    <definedName name="ExternalData_4" localSheetId="3" hidden="1">'Customer_Orders_Data_'!$A$1:$K$21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2" i="8" l="1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L4" i="8"/>
  <c r="L3" i="8"/>
  <c r="L2" i="8"/>
  <c r="J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I2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F3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" i="8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" i="7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C3" i="6"/>
  <c r="C2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63B249B-1FEB-44ED-94DF-828DDC544737}" keepAlive="1" name="Query - Customer Orders Data" description="Connection to the 'Customer Orders Data' query in the workbook." type="5" refreshedVersion="8" background="1" saveData="1">
    <dbPr connection="Provider=Microsoft.Mashup.OleDb.1;Data Source=$Workbook$;Location=&quot;Customer Orders Data&quot;;Extended Properties=&quot;&quot;" command="SELECT * FROM [Customer Orders Data]"/>
  </connection>
  <connection id="2" xr16:uid="{F5D7EA07-238D-400E-8EDB-6CF4B6A362ED}" keepAlive="1" name="Query - Customer_Orders_Data" description="Connection to the 'Customer_Orders_Data' query in the workbook." type="5" refreshedVersion="8" background="1" saveData="1">
    <dbPr connection="Provider=Microsoft.Mashup.OleDb.1;Data Source=$Workbook$;Location=Customer_Orders_Data;Extended Properties=&quot;&quot;" command="SELECT * FROM [Customer_Orders_Data]"/>
  </connection>
  <connection id="3" xr16:uid="{2C97D2DC-4E12-49DD-8FFC-21DE5A757947}" keepAlive="1" name="Query - Customer_Orders_Data_" description="Connection to the 'Customer_Orders_Data_' query in the workbook." type="5" refreshedVersion="8" background="1" saveData="1">
    <dbPr connection="Provider=Microsoft.Mashup.OleDb.1;Data Source=$Workbook$;Location=Customer_Orders_Data_;Extended Properties=&quot;&quot;" command="SELECT * FROM [Customer_Orders_Data_]"/>
  </connection>
  <connection id="4" xr16:uid="{1C3C3C46-0398-4FEA-B5EE-5F74C82A2595}" keepAlive="1" name="Query - Product Inventory Data" description="Connection to the 'Product Inventory Data' query in the workbook." type="5" refreshedVersion="8" background="1" saveData="1">
    <dbPr connection="Provider=Microsoft.Mashup.OleDb.1;Data Source=$Workbook$;Location=&quot;Product Inventory Data&quot;;Extended Properties=&quot;&quot;" command="SELECT * FROM [Product Inventory Data]"/>
  </connection>
  <connection id="5" xr16:uid="{98DDFD0F-B620-4212-8753-45283C16917F}" keepAlive="1" name="Query - Product_Inventory_Data" description="Connection to the 'Product_Inventory_Data' query in the workbook." type="5" refreshedVersion="8" background="1" saveData="1">
    <dbPr connection="Provider=Microsoft.Mashup.OleDb.1;Data Source=$Workbook$;Location=Product_Inventory_Data;Extended Properties=&quot;&quot;" command="SELECT * FROM [Product_Inventory_Data]"/>
  </connection>
</connections>
</file>

<file path=xl/sharedStrings.xml><?xml version="1.0" encoding="utf-8"?>
<sst xmlns="http://schemas.openxmlformats.org/spreadsheetml/2006/main" count="530" uniqueCount="299">
  <si>
    <t>Excel Assignment 2 — Data Cleaning &amp; Transformation</t>
  </si>
  <si>
    <t>Perform the following tasks using the data on the 'Product Inventory Data' sheet.</t>
  </si>
  <si>
    <t>Part 1 — Core Skills  (uses the 'Product Inventory Data' sheet)</t>
  </si>
  <si>
    <t>1)  Handling Missing Values</t>
  </si>
  <si>
    <t>•  Check for missing values in the 'Price' column. How would you handle products with missing price information?</t>
  </si>
  <si>
    <t>•  If there are products with missing categories, propose a strategy to deal with these missing values effectively.</t>
  </si>
  <si>
    <t>2)  Correcting Inconsistent Data</t>
  </si>
  <si>
    <t>•  Identify any inconsistent text formats present in the 'Product Name' column.</t>
  </si>
  <si>
    <t>•  Identify any typos present in the 'Category' column.</t>
  </si>
  <si>
    <t>•  Standardize the text formats in the 'Product Name' column and fix any typos or misspellings in the 'Category' column.</t>
  </si>
  <si>
    <t>3)  Removing Duplicates</t>
  </si>
  <si>
    <t>•  Identify any duplicate rows within the dataset based on the entirety of each row, and remove them if any.</t>
  </si>
  <si>
    <t>4)  Splitting and Merging Data</t>
  </si>
  <si>
    <t>•  Split the 'Product ID' column into two separate columns for 'Manufacturing Date' and 'Country Code'. Remove unnecessary characters, if any.</t>
  </si>
  <si>
    <t>•  Merge the 'Brand Name' and 'Product Name' columns into one column named 'Product Brand'.</t>
  </si>
  <si>
    <t>5)  Number Formatting</t>
  </si>
  <si>
    <t>•  Format the data type of the 'Price' column to currency format.</t>
  </si>
  <si>
    <t>•  Format the 'Manufacturing Date' column to display dates in the 'DD-MM-YYYY' format.</t>
  </si>
  <si>
    <t>6)  Conditional Formatting</t>
  </si>
  <si>
    <t>•  Apply data bar or color scale conditional formatting in the 'Price' column.</t>
  </si>
  <si>
    <t>•  Create a custom rule to highlight cells in the 'Category' column where the category is 'Electronics'.</t>
  </si>
  <si>
    <t>Part 2 — Advanced Practice  (uses the 'Customer Orders Data' sheet)</t>
  </si>
  <si>
    <t>7)  Trimming and Case Standardization</t>
  </si>
  <si>
    <t>•  Identify entries in the 'Customer Name' column that contain extra spaces or inconsistent capitalization.</t>
  </si>
  <si>
    <t>•  Clean up the 'Customer Name' column so every entry follows a consistent, properly capitalized format.</t>
  </si>
  <si>
    <t>8)  Validating Contact Details</t>
  </si>
  <si>
    <t>•  Identify any entries in the 'Email' column that are not in a valid email format.</t>
  </si>
  <si>
    <t>•  Identify any entries in the 'Phone' column that don't follow a consistent 10-digit format.</t>
  </si>
  <si>
    <t>9)  Splitting Combined Fields</t>
  </si>
  <si>
    <t>•  Split the 'Location' column into two separate columns for 'City' and 'Postal Code', removing unnecessary characters.</t>
  </si>
  <si>
    <t>10)  Standardizing Categorical Values</t>
  </si>
  <si>
    <t>•  Identify inconsistent entries in the 'Payment Status' column (e.g., mixed casing or extra spaces).</t>
  </si>
  <si>
    <t>•  Standardize the 'Payment Status' column so each order is labeled consistently as 'Paid', 'Pending', or 'Failed'.</t>
  </si>
  <si>
    <t>11)  Conditional Formatting</t>
  </si>
  <si>
    <t>•  Highlight orders in the 'Payment Status' column where the status is 'Pending'.</t>
  </si>
  <si>
    <t>•  Apply a color scale to the 'Amount ($)' column to visualize order values.</t>
  </si>
  <si>
    <t>Tip: keep a copy of the original data before cleaning, so your work can be checked against the source.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</si>
  <si>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</si>
  <si>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</si>
  <si>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</si>
  <si>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</si>
  <si>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</si>
  <si>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</si>
  <si>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</si>
  <si>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</si>
  <si>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</si>
  <si>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</si>
  <si>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</si>
  <si>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</si>
  <si>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</si>
  <si>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</si>
  <si>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</si>
  <si>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</si>
  <si>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</si>
  <si>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</si>
  <si>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</si>
  <si>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</si>
  <si>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</si>
  <si>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</si>
  <si>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</si>
  <si>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</si>
  <si>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</si>
  <si>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</si>
  <si>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</si>
  <si>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</si>
  <si>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</si>
  <si>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</si>
  <si>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</si>
  <si>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</si>
  <si>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</si>
  <si>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</si>
  <si>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</si>
  <si>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</si>
  <si>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</si>
  <si>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</si>
  <si>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</si>
  <si>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</si>
  <si>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</si>
  <si>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</si>
  <si>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</si>
  <si>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</si>
  <si>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</si>
  <si>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</si>
  <si>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</si>
  <si>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</si>
  <si>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</si>
  <si>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</si>
  <si>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</si>
  <si>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</si>
  <si>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</si>
  <si>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</si>
  <si>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</si>
  <si>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</si>
  <si>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</si>
  <si>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</si>
  <si>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</si>
  <si>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</si>
  <si>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</si>
  <si>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</si>
  <si>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</si>
  <si>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</si>
  <si>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</si>
  <si>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</si>
  <si>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</si>
  <si>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</si>
  <si>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</si>
  <si>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</si>
  <si>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</si>
  <si>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</si>
  <si>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</si>
  <si>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</si>
  <si>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</si>
  <si>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</si>
  <si>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</si>
  <si>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</si>
  <si>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</si>
  <si>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</si>
  <si>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</si>
  <si>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</si>
  <si>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</si>
  <si>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</si>
  <si>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</si>
  <si>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</si>
  <si>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</si>
  <si>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</si>
  <si>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</si>
  <si>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</si>
  <si>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</si>
  <si>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</si>
  <si>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</si>
  <si>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</si>
  <si>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</si>
  <si>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</si>
  <si>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</si>
  <si>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Customer Name</t>
  </si>
  <si>
    <t>Email</t>
  </si>
  <si>
    <t>Phone</t>
  </si>
  <si>
    <t>Location</t>
  </si>
  <si>
    <t>Amount ($)</t>
  </si>
  <si>
    <t>Payment Status</t>
  </si>
  <si>
    <t>ORD2001</t>
  </si>
  <si>
    <t>sarah.connor@email.com</t>
  </si>
  <si>
    <t>9876543210</t>
  </si>
  <si>
    <t>ORD2002</t>
  </si>
  <si>
    <t>98765-43211</t>
  </si>
  <si>
    <t>ORD2003</t>
  </si>
  <si>
    <t>priya.sharma@mail</t>
  </si>
  <si>
    <t>9876543212</t>
  </si>
  <si>
    <t>PAID</t>
  </si>
  <si>
    <t>ORD2004</t>
  </si>
  <si>
    <t>john.doe@email.com</t>
  </si>
  <si>
    <t>987654</t>
  </si>
  <si>
    <t>ORD2005</t>
  </si>
  <si>
    <t>Emily Clarke</t>
  </si>
  <si>
    <t>9876543214</t>
  </si>
  <si>
    <t>ORD2006</t>
  </si>
  <si>
    <t>raj.patel@email.com</t>
  </si>
  <si>
    <t>9876543215</t>
  </si>
  <si>
    <t>ORD2007</t>
  </si>
  <si>
    <t>Laura Kim</t>
  </si>
  <si>
    <t>laurakim.email.com</t>
  </si>
  <si>
    <t>9876543216</t>
  </si>
  <si>
    <t>ORD2008</t>
  </si>
  <si>
    <t>Tom Walker</t>
  </si>
  <si>
    <t>tom.walker@email.com</t>
  </si>
  <si>
    <t>9876543217</t>
  </si>
  <si>
    <t>PENDING</t>
  </si>
  <si>
    <t>ORD2009</t>
  </si>
  <si>
    <t>anna.white@email.com</t>
  </si>
  <si>
    <t>9876543218</t>
  </si>
  <si>
    <t>ORD2010</t>
  </si>
  <si>
    <t>9876543219</t>
  </si>
  <si>
    <t>ORD2011</t>
  </si>
  <si>
    <t>David Nguyen</t>
  </si>
  <si>
    <t>d.nguyen@email.com</t>
  </si>
  <si>
    <t>9876543220</t>
  </si>
  <si>
    <t>ORD2012</t>
  </si>
  <si>
    <t>Sophie  Turner</t>
  </si>
  <si>
    <t>sophie.turner@email.com</t>
  </si>
  <si>
    <t>9876543221</t>
  </si>
  <si>
    <t>ORD2013</t>
  </si>
  <si>
    <t>carlos.ruiz@email</t>
  </si>
  <si>
    <t>9876543222</t>
  </si>
  <si>
    <t>ORD2014</t>
  </si>
  <si>
    <t>Nina Brooks</t>
  </si>
  <si>
    <t>nina.brooks@email.com</t>
  </si>
  <si>
    <t>987-654-3223</t>
  </si>
  <si>
    <t>ORD2015</t>
  </si>
  <si>
    <t>Omar Farouk</t>
  </si>
  <si>
    <t>omar.farouk@email.com</t>
  </si>
  <si>
    <t>9876543224</t>
  </si>
  <si>
    <t>ORD2016</t>
  </si>
  <si>
    <t>grace.lee@email.com</t>
  </si>
  <si>
    <t>9876543225</t>
  </si>
  <si>
    <t>ORD2017</t>
  </si>
  <si>
    <t>9876543226</t>
  </si>
  <si>
    <t>ORD2018</t>
  </si>
  <si>
    <t>Wendy Park</t>
  </si>
  <si>
    <t>wendy.park@email.com</t>
  </si>
  <si>
    <t>9876543227</t>
  </si>
  <si>
    <t>ORD2019</t>
  </si>
  <si>
    <t>Aiden Cole</t>
  </si>
  <si>
    <t>aiden.cole@email.com</t>
  </si>
  <si>
    <t>9876543228</t>
  </si>
  <si>
    <t>ORD2020</t>
  </si>
  <si>
    <t>Lucy  Bennett</t>
  </si>
  <si>
    <t>lucy.bennett@email.com</t>
  </si>
  <si>
    <t>9876543229</t>
  </si>
  <si>
    <t>LAPTOP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</si>
  <si>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</si>
  <si>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</si>
  <si>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</si>
  <si>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</si>
  <si>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</si>
  <si>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</si>
  <si>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</si>
  <si>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</si>
  <si>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SMARTPHONE</t>
  </si>
  <si>
    <t>SAMSUNG</t>
  </si>
  <si>
    <t>BACKPACK</t>
  </si>
  <si>
    <t>NORTH FACE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</si>
  <si>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</si>
  <si>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</si>
  <si>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</si>
  <si>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</si>
  <si>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</si>
  <si>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</si>
  <si>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</si>
  <si>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</si>
  <si>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</si>
  <si>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</si>
  <si>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</si>
  <si>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SMARTWATCH</t>
  </si>
  <si>
    <t>FITBIT</t>
  </si>
  <si>
    <t>LAPTOP BAG</t>
  </si>
  <si>
    <t>SAMSONITE</t>
  </si>
  <si>
    <t>ACCESSORIES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</si>
  <si>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</si>
  <si>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</si>
  <si>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</si>
  <si>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</si>
  <si>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</si>
  <si>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</si>
  <si>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</si>
  <si>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</si>
  <si>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</si>
  <si>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</si>
  <si>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DRESS</t>
  </si>
  <si>
    <t>ZARA</t>
  </si>
  <si>
    <t>TOASTER</t>
  </si>
  <si>
    <t>HAMILTON</t>
  </si>
  <si>
    <t>JEANS</t>
  </si>
  <si>
    <t>LEVI'S</t>
  </si>
  <si>
    <t>WATCH</t>
  </si>
  <si>
    <t>CASIO</t>
  </si>
  <si>
    <t>CHICAGO-60601</t>
  </si>
  <si>
    <t>mikeross@email.com</t>
  </si>
  <si>
    <t>DENVER-80202</t>
  </si>
  <si>
    <t>AUSTIN-73301</t>
  </si>
  <si>
    <t>MIAMI-33101</t>
  </si>
  <si>
    <t>emily.clarke@email.com</t>
  </si>
  <si>
    <t>SEATTLE-98101</t>
  </si>
  <si>
    <t>FAILED</t>
  </si>
  <si>
    <t>BOSTON-02108</t>
  </si>
  <si>
    <t>PHOENIX-85001</t>
  </si>
  <si>
    <t>DALLAS-75201</t>
  </si>
  <si>
    <t>PORTLAND-97201</t>
  </si>
  <si>
    <t>ATLANTA-30301</t>
  </si>
  <si>
    <t>HOUSTON-77002</t>
  </si>
  <si>
    <t>SAN DIEGO-92101</t>
  </si>
  <si>
    <t>ORLANDO-32801</t>
  </si>
  <si>
    <t>DETROIT-48201</t>
  </si>
  <si>
    <t>NASHVILLE-37201</t>
  </si>
  <si>
    <t>kevin.hart@email.com</t>
  </si>
  <si>
    <t>CHARLOTTE-28201</t>
  </si>
  <si>
    <t>COLUMBUS-43085</t>
  </si>
  <si>
    <t>BALTIMORE-21201</t>
  </si>
  <si>
    <t>MEMPHIS-38101</t>
  </si>
  <si>
    <t>BAGS</t>
  </si>
  <si>
    <t>MANUFACTURING DATE</t>
  </si>
  <si>
    <t>COUNTRY CODE</t>
  </si>
  <si>
    <t>PRODUCT BRAND</t>
  </si>
  <si>
    <t>Sarah Connor</t>
  </si>
  <si>
    <t>Mike Ross</t>
  </si>
  <si>
    <t>Priya Sharma</t>
  </si>
  <si>
    <t>John Doe</t>
  </si>
  <si>
    <t>Raj  Patel</t>
  </si>
  <si>
    <t>Anna White</t>
  </si>
  <si>
    <t>Carlos Ruiz</t>
  </si>
  <si>
    <t>Grace Lee</t>
  </si>
  <si>
    <t>Kevin Hart</t>
  </si>
  <si>
    <t>Q</t>
  </si>
  <si>
    <t>STATUS</t>
  </si>
  <si>
    <t>Status2</t>
  </si>
  <si>
    <t>9876543211</t>
  </si>
  <si>
    <t>9876543223</t>
  </si>
  <si>
    <t>City</t>
  </si>
  <si>
    <t>Pincode</t>
  </si>
  <si>
    <t>Standardized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</si>
</sst>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&quot;₹&quot;\ #,##0.00"/>
  </numFmts>
  <fonts count="14" x14ac:knownFonts="1">
    <font>
      <sz val="10"/>
      <color rgb="FF000000"/>
      <name val="Arial"/>
      <charset val="1"/>
    </font>
    <font>
      <b/>
      <sz val="16"/>
      <color rgb="FFFFFFFF"/>
      <name val="Arial"/>
      <family val="2"/>
    </font>
    <font>
      <sz val="11"/>
      <name val="Arial"/>
      <family val="2"/>
    </font>
    <font>
      <i/>
      <sz val="11"/>
      <color rgb="FF1F1F1F"/>
      <name val="Arial"/>
      <family val="2"/>
    </font>
    <font>
      <b/>
      <sz val="12"/>
      <color rgb="FFFFFFFF"/>
      <name val="Arial"/>
      <family val="2"/>
    </font>
    <font>
      <b/>
      <sz val="12"/>
      <color rgb="FF1F3864"/>
      <name val="Times New Roman"/>
      <family val="1"/>
    </font>
    <font>
      <sz val="11"/>
      <color rgb="FF1F1F1F"/>
      <name val="Times New Roman"/>
      <family val="1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1F1F1F"/>
      <name val="Arial"/>
      <family val="2"/>
    </font>
    <font>
      <u/>
      <sz val="10"/>
      <color theme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5395"/>
      </patternFill>
    </fill>
    <fill>
      <patternFill patternType="solid">
        <fgColor rgb="FFD9E2F3"/>
        <bgColor rgb="FFE2EFDA"/>
      </patternFill>
    </fill>
    <fill>
      <patternFill patternType="solid">
        <fgColor rgb="FF2E5395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FFFFFF"/>
        <bgColor rgb="FFFFF2CC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rgb="FFBF8F00"/>
      </left>
      <right style="thin">
        <color rgb="FFBF8F00"/>
      </right>
      <top style="thin">
        <color rgb="FFBF8F00"/>
      </top>
      <bottom style="thin">
        <color rgb="FFBF8F0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8" fillId="2" borderId="2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left" vertical="center"/>
    </xf>
    <xf numFmtId="164" fontId="9" fillId="3" borderId="2" xfId="0" applyNumberFormat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left" vertical="center"/>
    </xf>
    <xf numFmtId="164" fontId="9" fillId="6" borderId="2" xfId="0" applyNumberFormat="1" applyFont="1" applyFill="1" applyBorder="1" applyAlignment="1">
      <alignment horizontal="center" vertical="center"/>
    </xf>
    <xf numFmtId="165" fontId="0" fillId="0" borderId="0" xfId="0" applyNumberFormat="1"/>
    <xf numFmtId="0" fontId="12" fillId="0" borderId="0" xfId="0" applyFont="1"/>
    <xf numFmtId="0" fontId="13" fillId="0" borderId="0" xfId="0" applyFont="1"/>
    <xf numFmtId="0" fontId="10" fillId="0" borderId="0" xfId="1" applyNumberFormat="1"/>
    <xf numFmtId="0" fontId="0" fillId="7" borderId="0" xfId="0" applyFill="1"/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 indent="1"/>
    </xf>
    <xf numFmtId="0" fontId="5" fillId="5" borderId="1" xfId="0" applyFont="1" applyFill="1" applyBorder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35">
    <dxf>
      <fill>
        <patternFill>
          <bgColor rgb="FFFFC7CE"/>
        </patternFill>
      </fill>
    </dxf>
    <dxf>
      <fill>
        <patternFill>
          <bgColor theme="7" tint="-0.24994659260841701"/>
        </patternFill>
      </fill>
    </dxf>
    <dxf>
      <fill>
        <patternFill>
          <bgColor theme="9"/>
        </patternFill>
      </fill>
    </dxf>
    <dxf>
      <fill>
        <patternFill>
          <bgColor rgb="FFC00000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theme="4" tint="-0.2499465926084170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₹&quot;\ #,##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BF8F00"/>
      <rgbColor rgb="FFFF6600"/>
      <rgbColor rgb="FF595959"/>
      <rgbColor rgb="FF969696"/>
      <rgbColor rgb="FF1F3864"/>
      <rgbColor rgb="FF339966"/>
      <rgbColor rgb="FF003300"/>
      <rgbColor rgb="FF375623"/>
      <rgbColor rgb="FF993300"/>
      <rgbColor rgb="FF993366"/>
      <rgbColor rgb="FF2E5395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1173480</xdr:colOff>
      <xdr:row>25</xdr:row>
      <xdr:rowOff>190500</xdr:rowOff>
    </xdr:from>
    <xdr:to>
      <xdr:col>3</xdr:col>
      <xdr:colOff>1826160</xdr:colOff>
      <xdr:row>33</xdr:row>
      <xdr:rowOff>199140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3710940" y="7414260"/>
          <a:ext cx="7167780" cy="20660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0</xdr:rowOff>
    </xdr:from>
    <xdr:to>
      <xdr:col>15</xdr:col>
      <xdr:colOff>115920</xdr:colOff>
      <xdr:row>19</xdr:row>
      <xdr:rowOff>75240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6388200" y="1876320"/>
          <a:ext cx="7238160" cy="2075760"/>
        </a:xfrm>
        <a:prstGeom prst="rect">
          <a:avLst/>
        </a:prstGeom>
        <a:ln w="0">
          <a:noFill/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BB66C48B-6CED-4C3D-895A-8A8288C3A658}" autoFormatId="16" applyNumberFormats="0" applyBorderFormats="0" applyFontFormats="0" applyPatternFormats="0" applyAlignmentFormats="0" applyWidthHeightFormats="0">
  <queryTableRefresh nextId="20">
    <queryTableFields count="9">
      <queryTableField id="1" name="Product ID" tableColumnId="1"/>
      <queryTableField id="17" dataBound="0" tableColumnId="17"/>
      <queryTableField id="18" dataBound="0" tableColumnId="18"/>
      <queryTableField id="2" name="Product Name" tableColumnId="2"/>
      <queryTableField id="3" name="Brand Name" tableColumnId="3"/>
      <queryTableField id="19" dataBound="0" tableColumnId="19"/>
      <queryTableField id="4" name="Price ($)" tableColumnId="4"/>
      <queryTableField id="5" name="Quantity" tableColumnId="5"/>
      <queryTableField id="6" name="Category" tableColumnId="6"/>
    </queryTableFields>
    <queryTableDeletedFields count="10">
      <deletedField name="Column7"/>
      <deletedField name="Column8"/>
      <deletedField name="Column9"/>
      <deletedField name="Column10"/>
      <deletedField name="Column11"/>
      <deletedField name="Column12"/>
      <deletedField name="Column13"/>
      <deletedField name="Column14"/>
      <deletedField name="Column15"/>
      <deletedField name="Column16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1E0CABEC-8382-4DA6-AAC1-707BFE215A7D}" autoFormatId="16" applyNumberFormats="0" applyBorderFormats="0" applyFontFormats="0" applyPatternFormats="0" applyAlignmentFormats="0" applyWidthHeightFormats="0">
  <queryTableRefresh nextId="13" unboundColumnsRight="1">
    <queryTableFields count="12">
      <queryTableField id="1" name="Q" tableColumnId="1"/>
      <queryTableField id="2" name="Customer Name" tableColumnId="2"/>
      <queryTableField id="3" name="Email" tableColumnId="3"/>
      <queryTableField id="4" name="STATUS" tableColumnId="4"/>
      <queryTableField id="5" name="Phone" tableColumnId="5"/>
      <queryTableField id="6" name="Status2" tableColumnId="6"/>
      <queryTableField id="7" name="Location" tableColumnId="7"/>
      <queryTableField id="10" dataBound="0" tableColumnId="10"/>
      <queryTableField id="11" dataBound="0" tableColumnId="11"/>
      <queryTableField id="8" name="Amount ($)" tableColumnId="8"/>
      <queryTableField id="9" name="Payment Status" tableColumnId="9"/>
      <queryTableField id="12" dataBound="0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699E5022-27D0-4E2A-8BF3-432BEF555041}" autoFormatId="16" applyNumberFormats="0" applyBorderFormats="0" applyFontFormats="0" applyPatternFormats="0" applyAlignmentFormats="0" applyWidthHeightFormats="0">
  <queryTableRefresh nextId="11" unboundColumnsRight="1">
    <queryTableFields count="10">
      <queryTableField id="1" name="Order ID" tableColumnId="1"/>
      <queryTableField id="2" name="Customer Name" tableColumnId="2"/>
      <queryTableField id="3" name="Email" tableColumnId="3"/>
      <queryTableField id="8" dataBound="0" tableColumnId="8"/>
      <queryTableField id="4" name="Phone" tableColumnId="4"/>
      <queryTableField id="9" dataBound="0" tableColumnId="9"/>
      <queryTableField id="5" name="Location" tableColumnId="5"/>
      <queryTableField id="6" name="Amount ($)" tableColumnId="6"/>
      <queryTableField id="7" name="Payment Status" tableColumnId="7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F8DAC7-FEE4-4DEC-8317-CDC6CA0F31B0}" name="Product_Inventory_Data_1" displayName="Product_Inventory_Data_1" ref="A1:I22" tableType="queryTable" totalsRowShown="0">
  <autoFilter ref="A1:I22" xr:uid="{31F8DAC7-FEE4-4DEC-8317-CDC6CA0F31B0}"/>
  <tableColumns count="9">
    <tableColumn id="1" xr3:uid="{C3D6CB42-C0FD-4F51-A2C3-F4338A218120}" uniqueName="1" name="Product ID" queryTableFieldId="1" dataDxfId="24"/>
    <tableColumn id="17" xr3:uid="{E5D3463E-FA4F-4FA0-8690-2C8416A0FDB9}" uniqueName="17" name="MANUFACTURING DATE" queryTableFieldId="17" dataDxfId="23">
      <calculatedColumnFormula>LEFT(Product_Inventory_Data_1[[#This Row],[Product ID]],6)</calculatedColumnFormula>
    </tableColumn>
    <tableColumn id="18" xr3:uid="{397B681D-6907-404C-B603-BEBAEC266FD5}" uniqueName="18" name="COUNTRY CODE" queryTableFieldId="18" dataDxfId="22">
      <calculatedColumnFormula>RIGHT(Product_Inventory_Data_1[[#This Row],[Product ID]],2)</calculatedColumnFormula>
    </tableColumn>
    <tableColumn id="2" xr3:uid="{B2CF767C-3185-432F-96CC-4B89D7DBE4BE}" uniqueName="2" name="Product Name" queryTableFieldId="2" dataDxfId="21"/>
    <tableColumn id="3" xr3:uid="{24C6E0A6-98FB-4576-9E87-5E1F92CD9A63}" uniqueName="3" name="Brand Name" queryTableFieldId="3" dataDxfId="20"/>
    <tableColumn id="19" xr3:uid="{4BDDD07B-B3E1-4698-823B-BFCC989CD4E7}" uniqueName="19" name="PRODUCT BRAND" queryTableFieldId="19" dataDxfId="19">
      <calculatedColumnFormula>TRIM(Product_Inventory_Data_1[[#This Row],[Product Name]]&amp;"  "&amp;Product_Inventory_Data_1[[#This Row],[Brand Name]])</calculatedColumnFormula>
    </tableColumn>
    <tableColumn id="4" xr3:uid="{AD7385B4-6C4A-4B1D-B917-A2E7174A7E17}" uniqueName="4" name="Price ($)" queryTableFieldId="4" dataDxfId="18"/>
    <tableColumn id="5" xr3:uid="{D4BE15D6-3BB6-4A08-BEAE-15A51F9238C5}" uniqueName="5" name="Quantity" queryTableFieldId="5"/>
    <tableColumn id="6" xr3:uid="{2C315C9F-2163-49BD-B2F1-2996E24D3357}" uniqueName="6" name="Category" queryTableFieldId="6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C9B8BD-41D0-4949-82E2-D65C1028815C}" name="Customer_Orders_Data__" displayName="Customer_Orders_Data__" ref="A1:L21" tableType="queryTable" totalsRowShown="0">
  <autoFilter ref="A1:L21" xr:uid="{BBC9B8BD-41D0-4949-82E2-D65C1028815C}"/>
  <tableColumns count="12">
    <tableColumn id="1" xr3:uid="{B4836FB1-A1A3-4A14-988A-6A28B58EE917}" uniqueName="1" name="Q" queryTableFieldId="1" dataDxfId="34"/>
    <tableColumn id="2" xr3:uid="{28719802-EFA9-4EE1-A78D-85E06DF39BE6}" uniqueName="2" name="Customer Name" queryTableFieldId="2" dataDxfId="33"/>
    <tableColumn id="3" xr3:uid="{A8AA6E78-928B-48C1-9077-C02E11532746}" uniqueName="3" name="Email" queryTableFieldId="3" dataDxfId="32"/>
    <tableColumn id="4" xr3:uid="{F441F3E9-A59B-4AA1-9F3B-EF9839E1D359}" uniqueName="4" name="STATUS" queryTableFieldId="4" dataDxfId="31"/>
    <tableColumn id="5" xr3:uid="{D1431BAC-97CC-480E-9C41-36C217101D83}" uniqueName="5" name="Phone" queryTableFieldId="5" dataDxfId="30"/>
    <tableColumn id="6" xr3:uid="{B1D585A0-F489-4278-B7F6-F0523FA17E57}" uniqueName="6" name="Status2" queryTableFieldId="6"/>
    <tableColumn id="7" xr3:uid="{773CA916-126D-46DC-BA1A-5928B5FE1BF9}" uniqueName="7" name="Location" queryTableFieldId="7" dataDxfId="29"/>
    <tableColumn id="10" xr3:uid="{8F2ED6B5-678C-47E5-BE57-BA891390F0B1}" uniqueName="10" name="City" queryTableFieldId="10" dataDxfId="28">
      <calculatedColumnFormula>TRIM(LEFT(Customer_Orders_Data__[[#This Row],[Location]],FIND("-",Customer_Orders_Data__[[#This Row],[Location]])-1))</calculatedColumnFormula>
    </tableColumn>
    <tableColumn id="11" xr3:uid="{3751A87F-20C6-4DA5-935C-BEA0667A2F2B}" uniqueName="11" name="Pincode" queryTableFieldId="11" dataDxfId="27">
      <calculatedColumnFormula>TRIM(RIGHT(Customer_Orders_Data__[[#This Row],[Location]],LEN(Customer_Orders_Data__[[#This Row],[Location]])-FIND("-",Customer_Orders_Data__[[#This Row],[Location]])))</calculatedColumnFormula>
    </tableColumn>
    <tableColumn id="8" xr3:uid="{CAB6F6F4-0BB8-4C29-BA47-785C3040EEEE}" uniqueName="8" name="Amount ($)" queryTableFieldId="8"/>
    <tableColumn id="9" xr3:uid="{55A89E25-14A3-4FBB-AF03-655CB16059D5}" uniqueName="9" name="Payment Status" queryTableFieldId="9" dataDxfId="26"/>
    <tableColumn id="12" xr3:uid="{858F8007-CEE6-44A9-8441-6A90DF6FDCCA}" uniqueName="12" name="Standardized" queryTableFieldId="12" dataDxfId="25">
      <calculatedColumnFormula>PROPER(TRIM(Customer_Orders_Data_[[#This Row],[Payment Status]]))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B0F7120-538A-4723-89E0-8A8CCFD4DAB5}" name="Customer_Orders_Data_" displayName="Customer_Orders_Data_" ref="A1:J21" tableType="queryTable" totalsRowShown="0">
  <autoFilter ref="A1:J21" xr:uid="{0B0F7120-538A-4723-89E0-8A8CCFD4DAB5}"/>
  <tableColumns count="10">
    <tableColumn id="1" xr3:uid="{70ECA0AE-C9B9-4FE7-AE5C-3587C07313C0}" uniqueName="1" name="Q" queryTableFieldId="1" dataDxfId="16"/>
    <tableColumn id="2" xr3:uid="{B3419903-7D3B-4DD7-AB63-CE26A64CEA6E}" uniqueName="2" name="Customer Name" queryTableFieldId="2" dataDxfId="15"/>
    <tableColumn id="3" xr3:uid="{DE62663C-272C-4F03-A9C3-478FA3635569}" uniqueName="3" name="Email" queryTableFieldId="3" dataDxfId="14"/>
    <tableColumn id="8" xr3:uid="{90B37D76-7A5C-4F40-8012-998AA3169A2B}" uniqueName="8" name="STATUS" queryTableFieldId="8" dataDxfId="13">
      <calculatedColumnFormula>IF(AND(COUNTIF(C2,"*@*")&gt;0,COUNTIF(C2,"*.com")&gt;0),"VALID","INVALID")</calculatedColumnFormula>
    </tableColumn>
    <tableColumn id="4" xr3:uid="{2CA572DE-2677-4274-9594-D71A7FC0FE5C}" uniqueName="4" name="Phone" queryTableFieldId="4" dataDxfId="12"/>
    <tableColumn id="9" xr3:uid="{391E6E4D-A868-40AD-B5D8-F0E50E1D0C75}" uniqueName="9" name="Status2" queryTableFieldId="9" dataDxfId="11"/>
    <tableColumn id="5" xr3:uid="{60FF1ABD-C0D6-4F0E-8A45-9A46734D6044}" uniqueName="5" name="Location" queryTableFieldId="5" dataDxfId="10"/>
    <tableColumn id="6" xr3:uid="{0D6892A4-6F8E-425A-806F-367843D4BD08}" uniqueName="6" name="Amount ($)" queryTableFieldId="6"/>
    <tableColumn id="7" xr3:uid="{370B1504-A159-4202-8EEB-534E40CBF675}" uniqueName="7" name="Payment Status" queryTableFieldId="7" dataDxfId="9"/>
    <tableColumn id="10" xr3:uid="{23A75766-00D6-4ACA-AAE7-561EEB2340E1}" uniqueName="10" name="Standardized" queryTableFieldId="10" dataDxfId="8">
      <calculatedColumnFormula>PROPER(TRIM(Customer_Orders_Data_[[#This Row],[Payment Status]]))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8F00"/>
  </sheetPr>
  <dimension ref="A1:K1000"/>
  <sheetViews>
    <sheetView showGridLines="0" topLeftCell="A35" zoomScaleNormal="100" workbookViewId="0">
      <selection activeCell="B50" sqref="B50:C50"/>
    </sheetView>
  </sheetViews>
  <sheetFormatPr defaultColWidth="12.6640625" defaultRowHeight="13.2" x14ac:dyDescent="0.25"/>
  <cols>
    <col min="1" max="1" width="3" customWidth="1"/>
    <col min="2" max="2" width="34" customWidth="1"/>
    <col min="3" max="6" width="95" customWidth="1"/>
  </cols>
  <sheetData>
    <row r="1" spans="1:11" ht="31.5" customHeight="1" x14ac:dyDescent="0.25">
      <c r="A1" s="18" t="s">
        <v>0</v>
      </c>
      <c r="B1" s="18"/>
      <c r="C1" s="18"/>
      <c r="D1" s="1"/>
      <c r="E1" s="1"/>
      <c r="F1" s="1"/>
      <c r="G1" s="1"/>
      <c r="H1" s="1"/>
      <c r="I1" s="1"/>
      <c r="J1" s="1"/>
      <c r="K1" s="1"/>
    </row>
    <row r="2" spans="1:11" ht="19.5" customHeight="1" x14ac:dyDescent="0.25">
      <c r="A2" s="19" t="s">
        <v>1</v>
      </c>
      <c r="B2" s="19"/>
      <c r="C2" s="19"/>
      <c r="D2" s="1"/>
      <c r="E2" s="1"/>
      <c r="F2" s="1"/>
      <c r="G2" s="1"/>
      <c r="H2" s="1"/>
      <c r="I2" s="1"/>
      <c r="J2" s="1"/>
      <c r="K2" s="1"/>
    </row>
    <row r="3" spans="1:11" ht="15.75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9.5" customHeight="1" x14ac:dyDescent="0.25">
      <c r="A4" s="17" t="s">
        <v>2</v>
      </c>
      <c r="B4" s="17"/>
      <c r="C4" s="17"/>
      <c r="D4" s="1"/>
      <c r="E4" s="1"/>
      <c r="F4" s="1"/>
      <c r="G4" s="1"/>
      <c r="H4" s="1"/>
      <c r="I4" s="1"/>
      <c r="J4" s="1"/>
      <c r="K4" s="1"/>
    </row>
    <row r="5" spans="1:11" ht="15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ht="18" customHeight="1" x14ac:dyDescent="0.25">
      <c r="A6" s="1"/>
      <c r="B6" s="16" t="s">
        <v>3</v>
      </c>
      <c r="C6" s="16"/>
      <c r="D6" s="1"/>
      <c r="E6" s="1"/>
      <c r="F6" s="1"/>
      <c r="G6" s="1"/>
      <c r="H6" s="1"/>
      <c r="I6" s="1"/>
      <c r="J6" s="1"/>
      <c r="K6" s="1"/>
    </row>
    <row r="7" spans="1:11" ht="30" customHeight="1" x14ac:dyDescent="0.25">
      <c r="A7" s="1"/>
      <c r="B7" s="14" t="s">
        <v>4</v>
      </c>
      <c r="C7" s="14"/>
      <c r="D7" s="1"/>
      <c r="E7" s="1"/>
      <c r="F7" s="1"/>
      <c r="G7" s="1"/>
      <c r="H7" s="1"/>
      <c r="I7" s="1"/>
      <c r="J7" s="1"/>
      <c r="K7" s="1"/>
    </row>
    <row r="8" spans="1:11" ht="30" customHeight="1" x14ac:dyDescent="0.25">
      <c r="A8" s="1"/>
      <c r="B8" s="14" t="s">
        <v>5</v>
      </c>
      <c r="C8" s="14"/>
      <c r="D8" s="1"/>
      <c r="E8" s="1"/>
      <c r="F8" s="1"/>
      <c r="G8" s="1"/>
      <c r="H8" s="1"/>
      <c r="I8" s="1"/>
      <c r="J8" s="1"/>
      <c r="K8" s="1"/>
    </row>
    <row r="9" spans="1:11" ht="15.7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 ht="18" customHeight="1" x14ac:dyDescent="0.25">
      <c r="A10" s="1"/>
      <c r="B10" s="16" t="s">
        <v>6</v>
      </c>
      <c r="C10" s="16"/>
      <c r="D10" s="1"/>
      <c r="E10" s="1"/>
      <c r="F10" s="1"/>
      <c r="G10" s="1"/>
      <c r="H10" s="1"/>
      <c r="I10" s="1"/>
      <c r="J10" s="1"/>
      <c r="K10" s="1"/>
    </row>
    <row r="11" spans="1:11" ht="30" customHeight="1" x14ac:dyDescent="0.25">
      <c r="A11" s="1"/>
      <c r="B11" s="14" t="s">
        <v>7</v>
      </c>
      <c r="C11" s="14"/>
      <c r="D11" s="1"/>
      <c r="E11" s="1"/>
      <c r="F11" s="1"/>
      <c r="G11" s="1"/>
      <c r="H11" s="1"/>
      <c r="I11" s="1"/>
      <c r="J11" s="1"/>
      <c r="K11" s="1"/>
    </row>
    <row r="12" spans="1:11" ht="30" customHeight="1" x14ac:dyDescent="0.25">
      <c r="A12" s="1"/>
      <c r="B12" s="14" t="s">
        <v>8</v>
      </c>
      <c r="C12" s="14"/>
      <c r="D12" s="1"/>
      <c r="E12" s="1"/>
      <c r="F12" s="1"/>
      <c r="G12" s="1"/>
      <c r="H12" s="1"/>
      <c r="I12" s="1"/>
      <c r="J12" s="1"/>
      <c r="K12" s="1"/>
    </row>
    <row r="13" spans="1:11" ht="30" customHeight="1" x14ac:dyDescent="0.25">
      <c r="A13" s="1"/>
      <c r="B13" s="14" t="s">
        <v>9</v>
      </c>
      <c r="C13" s="14"/>
      <c r="D13" s="1"/>
      <c r="E13" s="1"/>
      <c r="F13" s="1"/>
      <c r="G13" s="1"/>
      <c r="H13" s="1"/>
      <c r="I13" s="1"/>
      <c r="J13" s="1"/>
      <c r="K13" s="1"/>
    </row>
    <row r="14" spans="1:11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customHeight="1" x14ac:dyDescent="0.25">
      <c r="A15" s="1"/>
      <c r="B15" s="16" t="s">
        <v>10</v>
      </c>
      <c r="C15" s="16"/>
      <c r="D15" s="1"/>
      <c r="E15" s="1"/>
      <c r="F15" s="1"/>
      <c r="G15" s="1"/>
      <c r="H15" s="1"/>
      <c r="I15" s="1"/>
      <c r="J15" s="1"/>
      <c r="K15" s="1"/>
    </row>
    <row r="16" spans="1:11" ht="30" customHeight="1" x14ac:dyDescent="0.25">
      <c r="A16" s="1"/>
      <c r="B16" s="14" t="s">
        <v>11</v>
      </c>
      <c r="C16" s="14"/>
      <c r="D16" s="1"/>
      <c r="E16" s="1"/>
      <c r="F16" s="1"/>
      <c r="G16" s="1"/>
      <c r="H16" s="1"/>
      <c r="I16" s="1"/>
      <c r="J16" s="1"/>
      <c r="K16" s="1"/>
    </row>
    <row r="17" spans="1:11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 ht="18" customHeight="1" x14ac:dyDescent="0.25">
      <c r="A18" s="1"/>
      <c r="B18" s="16" t="s">
        <v>12</v>
      </c>
      <c r="C18" s="16"/>
      <c r="D18" s="1"/>
      <c r="E18" s="1"/>
      <c r="F18" s="1"/>
      <c r="G18" s="1"/>
      <c r="H18" s="1"/>
      <c r="I18" s="1"/>
      <c r="J18" s="1"/>
      <c r="K18" s="1"/>
    </row>
    <row r="19" spans="1:11" ht="30" customHeight="1" x14ac:dyDescent="0.25">
      <c r="A19" s="1"/>
      <c r="B19" s="14" t="s">
        <v>13</v>
      </c>
      <c r="C19" s="14"/>
      <c r="D19" s="1"/>
      <c r="E19" s="1"/>
      <c r="F19" s="1"/>
      <c r="G19" s="1"/>
      <c r="H19" s="1"/>
      <c r="I19" s="1"/>
      <c r="J19" s="1"/>
      <c r="K19" s="1"/>
    </row>
    <row r="20" spans="1:11" ht="30" customHeight="1" x14ac:dyDescent="0.25">
      <c r="A20" s="1"/>
      <c r="B20" s="14" t="s">
        <v>14</v>
      </c>
      <c r="C20" s="14"/>
      <c r="D20" s="1"/>
      <c r="E20" s="1"/>
      <c r="F20" s="1"/>
      <c r="G20" s="1"/>
      <c r="H20" s="1"/>
      <c r="I20" s="1"/>
      <c r="J20" s="1"/>
      <c r="K20" s="1"/>
    </row>
    <row r="21" spans="1:11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 ht="18" customHeight="1" x14ac:dyDescent="0.25">
      <c r="A22" s="1"/>
      <c r="B22" s="16" t="s">
        <v>15</v>
      </c>
      <c r="C22" s="16"/>
      <c r="D22" s="1"/>
      <c r="E22" s="1"/>
      <c r="F22" s="1"/>
      <c r="G22" s="1"/>
      <c r="H22" s="1"/>
      <c r="I22" s="1"/>
      <c r="J22" s="1"/>
      <c r="K22" s="1"/>
    </row>
    <row r="23" spans="1:11" ht="30" customHeight="1" x14ac:dyDescent="0.25">
      <c r="A23" s="1"/>
      <c r="B23" s="14" t="s">
        <v>16</v>
      </c>
      <c r="C23" s="14"/>
      <c r="D23" s="1"/>
      <c r="E23" s="1"/>
      <c r="F23" s="1"/>
      <c r="G23" s="1"/>
      <c r="H23" s="1"/>
      <c r="I23" s="1"/>
      <c r="J23" s="1"/>
      <c r="K23" s="1"/>
    </row>
    <row r="24" spans="1:11" ht="30" customHeight="1" x14ac:dyDescent="0.25">
      <c r="A24" s="1"/>
      <c r="B24" s="14" t="s">
        <v>17</v>
      </c>
      <c r="C24" s="14"/>
      <c r="D24" s="1"/>
      <c r="E24" s="1"/>
      <c r="F24" s="1"/>
      <c r="G24" s="1"/>
      <c r="H24" s="1"/>
      <c r="I24" s="1"/>
      <c r="J24" s="1"/>
      <c r="K24" s="1"/>
    </row>
    <row r="25" spans="1:11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ht="18" customHeight="1" x14ac:dyDescent="0.25">
      <c r="A26" s="1"/>
      <c r="B26" s="16" t="s">
        <v>18</v>
      </c>
      <c r="C26" s="16"/>
      <c r="D26" s="1"/>
      <c r="E26" s="1"/>
      <c r="F26" s="1"/>
      <c r="G26" s="1"/>
      <c r="H26" s="1"/>
      <c r="I26" s="1"/>
      <c r="J26" s="1"/>
      <c r="K26" s="1"/>
    </row>
    <row r="27" spans="1:11" ht="30" customHeight="1" x14ac:dyDescent="0.25">
      <c r="A27" s="1"/>
      <c r="B27" s="14" t="s">
        <v>19</v>
      </c>
      <c r="C27" s="14"/>
      <c r="D27" s="1"/>
      <c r="E27" s="1"/>
      <c r="F27" s="1"/>
      <c r="G27" s="1"/>
      <c r="H27" s="1"/>
      <c r="I27" s="1"/>
      <c r="J27" s="1"/>
      <c r="K27" s="1"/>
    </row>
    <row r="28" spans="1:11" ht="30" customHeight="1" x14ac:dyDescent="0.25">
      <c r="A28" s="1"/>
      <c r="B28" s="14" t="s">
        <v>20</v>
      </c>
      <c r="C28" s="14"/>
      <c r="D28" s="1"/>
      <c r="E28" s="1"/>
      <c r="F28" s="1"/>
      <c r="G28" s="1"/>
      <c r="H28" s="1"/>
      <c r="I28" s="1"/>
      <c r="J28" s="1"/>
      <c r="K28" s="1"/>
    </row>
    <row r="29" spans="1:11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ht="19.5" customHeight="1" x14ac:dyDescent="0.25">
      <c r="A31" s="17" t="s">
        <v>21</v>
      </c>
      <c r="B31" s="17"/>
      <c r="C31" s="17"/>
      <c r="D31" s="1"/>
      <c r="E31" s="1"/>
      <c r="F31" s="1"/>
      <c r="G31" s="1"/>
      <c r="H31" s="1"/>
      <c r="I31" s="1"/>
      <c r="J31" s="1"/>
      <c r="K31" s="1"/>
    </row>
    <row r="32" spans="1:11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ht="18" customHeight="1" x14ac:dyDescent="0.25">
      <c r="A33" s="1"/>
      <c r="B33" s="16" t="s">
        <v>22</v>
      </c>
      <c r="C33" s="16"/>
      <c r="D33" s="1"/>
      <c r="E33" s="1"/>
      <c r="F33" s="1"/>
      <c r="G33" s="1"/>
      <c r="H33" s="1"/>
      <c r="I33" s="1"/>
      <c r="J33" s="1"/>
      <c r="K33" s="1"/>
    </row>
    <row r="34" spans="1:11" ht="30" customHeight="1" x14ac:dyDescent="0.25">
      <c r="A34" s="1"/>
      <c r="B34" s="14" t="s">
        <v>23</v>
      </c>
      <c r="C34" s="14"/>
      <c r="D34" s="1"/>
      <c r="E34" s="1"/>
      <c r="F34" s="1"/>
      <c r="G34" s="1"/>
      <c r="H34" s="1"/>
      <c r="I34" s="1"/>
      <c r="J34" s="1"/>
      <c r="K34" s="1"/>
    </row>
    <row r="35" spans="1:11" ht="30" customHeight="1" x14ac:dyDescent="0.25">
      <c r="A35" s="1"/>
      <c r="B35" s="14" t="s">
        <v>24</v>
      </c>
      <c r="C35" s="14"/>
      <c r="D35" s="1"/>
      <c r="E35" s="1"/>
      <c r="F35" s="1"/>
      <c r="G35" s="1"/>
      <c r="H35" s="1"/>
      <c r="I35" s="1"/>
      <c r="J35" s="1"/>
      <c r="K35" s="1"/>
    </row>
    <row r="36" spans="1:11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ht="18" customHeight="1" x14ac:dyDescent="0.25">
      <c r="A37" s="1"/>
      <c r="B37" s="16" t="s">
        <v>25</v>
      </c>
      <c r="C37" s="16"/>
      <c r="D37" s="1"/>
      <c r="E37" s="1"/>
      <c r="F37" s="1"/>
      <c r="G37" s="1"/>
      <c r="H37" s="1"/>
      <c r="I37" s="1"/>
      <c r="J37" s="1"/>
      <c r="K37" s="1"/>
    </row>
    <row r="38" spans="1:11" ht="30" customHeight="1" x14ac:dyDescent="0.25">
      <c r="A38" s="1"/>
      <c r="B38" s="14" t="s">
        <v>26</v>
      </c>
      <c r="C38" s="14"/>
      <c r="D38" s="1"/>
      <c r="E38" s="1"/>
      <c r="F38" s="1"/>
      <c r="G38" s="1"/>
      <c r="H38" s="1"/>
      <c r="I38" s="1"/>
      <c r="J38" s="1"/>
      <c r="K38" s="1"/>
    </row>
    <row r="39" spans="1:11" ht="30" customHeight="1" x14ac:dyDescent="0.25">
      <c r="A39" s="1"/>
      <c r="B39" s="14" t="s">
        <v>27</v>
      </c>
      <c r="C39" s="14"/>
      <c r="D39" s="1"/>
      <c r="E39" s="1"/>
      <c r="F39" s="1"/>
      <c r="G39" s="1"/>
      <c r="H39" s="1"/>
      <c r="I39" s="1"/>
      <c r="J39" s="1"/>
      <c r="K39" s="1"/>
    </row>
    <row r="40" spans="1:11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 ht="18" customHeight="1" x14ac:dyDescent="0.25">
      <c r="A41" s="1"/>
      <c r="B41" s="16" t="s">
        <v>28</v>
      </c>
      <c r="C41" s="16"/>
      <c r="D41" s="1"/>
      <c r="E41" s="1"/>
      <c r="F41" s="1"/>
      <c r="G41" s="1"/>
      <c r="H41" s="1"/>
      <c r="I41" s="1"/>
      <c r="J41" s="1"/>
      <c r="K41" s="1"/>
    </row>
    <row r="42" spans="1:11" ht="30" customHeight="1" x14ac:dyDescent="0.25">
      <c r="A42" s="1"/>
      <c r="B42" s="14" t="s">
        <v>29</v>
      </c>
      <c r="C42" s="14"/>
      <c r="D42" s="1"/>
      <c r="E42" s="1"/>
      <c r="F42" s="1"/>
      <c r="G42" s="1"/>
      <c r="H42" s="1"/>
      <c r="I42" s="1"/>
      <c r="J42" s="1"/>
      <c r="K42" s="1"/>
    </row>
    <row r="43" spans="1:11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 ht="18" customHeight="1" x14ac:dyDescent="0.25">
      <c r="A44" s="1"/>
      <c r="B44" s="16" t="s">
        <v>30</v>
      </c>
      <c r="C44" s="16"/>
      <c r="D44" s="1"/>
      <c r="E44" s="1"/>
      <c r="F44" s="1"/>
      <c r="G44" s="1"/>
      <c r="H44" s="1"/>
      <c r="I44" s="1"/>
      <c r="J44" s="1"/>
      <c r="K44" s="1"/>
    </row>
    <row r="45" spans="1:11" ht="30" customHeight="1" x14ac:dyDescent="0.25">
      <c r="A45" s="1"/>
      <c r="B45" s="14" t="s">
        <v>31</v>
      </c>
      <c r="C45" s="14"/>
      <c r="D45" s="1"/>
      <c r="E45" s="1"/>
      <c r="F45" s="1"/>
      <c r="G45" s="1"/>
      <c r="H45" s="1"/>
      <c r="I45" s="1"/>
      <c r="J45" s="1"/>
      <c r="K45" s="1"/>
    </row>
    <row r="46" spans="1:11" ht="30" customHeight="1" x14ac:dyDescent="0.25">
      <c r="A46" s="1"/>
      <c r="B46" s="14" t="s">
        <v>32</v>
      </c>
      <c r="C46" s="14"/>
      <c r="D46" s="1"/>
      <c r="E46" s="1"/>
      <c r="F46" s="1"/>
      <c r="G46" s="1"/>
      <c r="H46" s="1"/>
      <c r="I46" s="1"/>
      <c r="J46" s="1"/>
      <c r="K46" s="1"/>
    </row>
    <row r="47" spans="1:11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 ht="18" customHeight="1" x14ac:dyDescent="0.25">
      <c r="A48" s="1"/>
      <c r="B48" s="16" t="s">
        <v>33</v>
      </c>
      <c r="C48" s="16"/>
      <c r="D48" s="1"/>
      <c r="E48" s="1"/>
      <c r="F48" s="1"/>
      <c r="G48" s="1"/>
      <c r="H48" s="1"/>
      <c r="I48" s="1"/>
      <c r="J48" s="1"/>
      <c r="K48" s="1"/>
    </row>
    <row r="49" spans="1:11" ht="30" customHeight="1" x14ac:dyDescent="0.25">
      <c r="A49" s="1"/>
      <c r="B49" s="14" t="s">
        <v>34</v>
      </c>
      <c r="C49" s="14"/>
      <c r="D49" s="1"/>
      <c r="E49" s="1"/>
      <c r="F49" s="1"/>
      <c r="G49" s="1"/>
      <c r="H49" s="1"/>
      <c r="I49" s="1"/>
      <c r="J49" s="1"/>
      <c r="K49" s="1"/>
    </row>
    <row r="50" spans="1:11" ht="30" customHeight="1" x14ac:dyDescent="0.25">
      <c r="A50" s="1"/>
      <c r="B50" s="14" t="s">
        <v>35</v>
      </c>
      <c r="C50" s="14"/>
      <c r="D50" s="1"/>
      <c r="E50" s="1"/>
      <c r="F50" s="1"/>
      <c r="G50" s="1"/>
      <c r="H50" s="1"/>
      <c r="I50" s="1"/>
      <c r="J50" s="1"/>
      <c r="K50" s="1"/>
    </row>
    <row r="51" spans="1:11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 ht="18" customHeight="1" x14ac:dyDescent="0.25">
      <c r="A52" s="15" t="s">
        <v>36</v>
      </c>
      <c r="B52" s="15"/>
      <c r="C52" s="15"/>
      <c r="D52" s="1"/>
      <c r="E52" s="1"/>
      <c r="F52" s="1"/>
      <c r="G52" s="1"/>
      <c r="H52" s="1"/>
      <c r="I52" s="1"/>
      <c r="J52" s="1"/>
      <c r="K52" s="1"/>
    </row>
    <row r="53" spans="1:11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 ht="15.75" customHeight="1" x14ac:dyDescent="0.25"/>
    <row r="72" spans="1:11" ht="15.75" customHeight="1" x14ac:dyDescent="0.25"/>
    <row r="73" spans="1:11" ht="15.75" customHeight="1" x14ac:dyDescent="0.25"/>
    <row r="74" spans="1:11" ht="15.75" customHeight="1" x14ac:dyDescent="0.25"/>
    <row r="75" spans="1:11" ht="15.75" customHeight="1" x14ac:dyDescent="0.25"/>
    <row r="76" spans="1:11" ht="15.75" customHeight="1" x14ac:dyDescent="0.25"/>
    <row r="77" spans="1:11" ht="15.75" customHeight="1" x14ac:dyDescent="0.25"/>
    <row r="78" spans="1:11" ht="15.75" customHeight="1" x14ac:dyDescent="0.25"/>
    <row r="79" spans="1:11" ht="15.75" customHeight="1" x14ac:dyDescent="0.25"/>
    <row r="80" spans="1:11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7">
    <mergeCell ref="A1:C1"/>
    <mergeCell ref="A2:C2"/>
    <mergeCell ref="A4:C4"/>
    <mergeCell ref="B6:C6"/>
    <mergeCell ref="B7:C7"/>
    <mergeCell ref="B8:C8"/>
    <mergeCell ref="B10:C10"/>
    <mergeCell ref="B11:C11"/>
    <mergeCell ref="B12:C12"/>
    <mergeCell ref="B13:C13"/>
    <mergeCell ref="B15:C15"/>
    <mergeCell ref="B16:C16"/>
    <mergeCell ref="B18:C18"/>
    <mergeCell ref="B19:C19"/>
    <mergeCell ref="B20:C20"/>
    <mergeCell ref="B22:C22"/>
    <mergeCell ref="B23:C23"/>
    <mergeCell ref="B24:C24"/>
    <mergeCell ref="B26:C26"/>
    <mergeCell ref="B27:C27"/>
    <mergeCell ref="B28:C28"/>
    <mergeCell ref="A31:C31"/>
    <mergeCell ref="B33:C33"/>
    <mergeCell ref="B34:C34"/>
    <mergeCell ref="B35:C35"/>
    <mergeCell ref="B37:C37"/>
    <mergeCell ref="B38:C38"/>
    <mergeCell ref="B39:C39"/>
    <mergeCell ref="B41:C41"/>
    <mergeCell ref="B42:C42"/>
    <mergeCell ref="B50:C50"/>
    <mergeCell ref="A52:C52"/>
    <mergeCell ref="B44:C44"/>
    <mergeCell ref="B45:C45"/>
    <mergeCell ref="B46:C46"/>
    <mergeCell ref="B48:C48"/>
    <mergeCell ref="B49:C49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P1000"/>
  <sheetViews>
    <sheetView showGridLines="0" zoomScaleNormal="100" workbookViewId="0">
      <pane ySplit="1" topLeftCell="A2" activePane="bottomLeft" state="frozen"/>
      <selection pane="bottomLeft" activeCell="D7" sqref="D7"/>
    </sheetView>
  </sheetViews>
  <sheetFormatPr defaultColWidth="12.6640625" defaultRowHeight="13.2" x14ac:dyDescent="0.25"/>
  <cols>
    <col min="1" max="6" width="13" customWidth="1"/>
  </cols>
  <sheetData>
    <row r="1" spans="1:16" ht="21.75" customHeight="1" x14ac:dyDescent="0.25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5.75" customHeight="1" x14ac:dyDescent="0.25">
      <c r="A2" s="3" t="s">
        <v>43</v>
      </c>
      <c r="B2" s="4" t="s">
        <v>44</v>
      </c>
      <c r="C2" s="3" t="s">
        <v>45</v>
      </c>
      <c r="D2" s="5">
        <v>1000</v>
      </c>
      <c r="E2" s="3">
        <v>30</v>
      </c>
      <c r="F2" s="3" t="s">
        <v>46</v>
      </c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ht="15.75" customHeight="1" x14ac:dyDescent="0.25">
      <c r="A3" s="6" t="s">
        <v>47</v>
      </c>
      <c r="B3" s="7" t="s">
        <v>48</v>
      </c>
      <c r="C3" s="6" t="s">
        <v>49</v>
      </c>
      <c r="D3" s="8">
        <v>80</v>
      </c>
      <c r="E3" s="6">
        <v>15</v>
      </c>
      <c r="F3" s="6" t="s">
        <v>50</v>
      </c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15.75" customHeight="1" x14ac:dyDescent="0.25">
      <c r="A4" s="3" t="s">
        <v>51</v>
      </c>
      <c r="B4" s="4" t="s">
        <v>52</v>
      </c>
      <c r="C4" s="3" t="s">
        <v>53</v>
      </c>
      <c r="D4" s="5">
        <v>130</v>
      </c>
      <c r="E4" s="3">
        <v>40</v>
      </c>
      <c r="F4" s="3" t="s">
        <v>54</v>
      </c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 ht="15.75" customHeight="1" x14ac:dyDescent="0.25">
      <c r="A5" s="6" t="s">
        <v>55</v>
      </c>
      <c r="B5" s="7" t="s">
        <v>56</v>
      </c>
      <c r="C5" s="6" t="s">
        <v>57</v>
      </c>
      <c r="D5" s="8">
        <v>900</v>
      </c>
      <c r="E5" s="6">
        <v>25</v>
      </c>
      <c r="F5" s="6" t="s">
        <v>46</v>
      </c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15.75" customHeight="1" x14ac:dyDescent="0.25">
      <c r="A6" s="3" t="s">
        <v>58</v>
      </c>
      <c r="B6" s="4" t="s">
        <v>59</v>
      </c>
      <c r="C6" s="3" t="s">
        <v>60</v>
      </c>
      <c r="D6" s="5">
        <v>70</v>
      </c>
      <c r="E6" s="3">
        <v>20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.75" customHeight="1" x14ac:dyDescent="0.25">
      <c r="A7" s="6" t="s">
        <v>61</v>
      </c>
      <c r="B7" s="7" t="s">
        <v>62</v>
      </c>
      <c r="C7" s="6" t="s">
        <v>63</v>
      </c>
      <c r="D7" s="6"/>
      <c r="E7" s="6">
        <v>45</v>
      </c>
      <c r="F7" s="6" t="s">
        <v>64</v>
      </c>
      <c r="G7" s="6"/>
      <c r="H7" s="6"/>
      <c r="I7" s="6"/>
      <c r="J7" s="6"/>
      <c r="K7" s="6"/>
      <c r="L7" s="6"/>
      <c r="M7" s="6"/>
      <c r="N7" s="6"/>
      <c r="O7" s="6"/>
      <c r="P7" s="6"/>
    </row>
    <row r="8" spans="1:16" ht="15.75" customHeight="1" x14ac:dyDescent="0.25">
      <c r="A8" s="3" t="s">
        <v>65</v>
      </c>
      <c r="B8" s="4" t="s">
        <v>66</v>
      </c>
      <c r="C8" s="3" t="s">
        <v>67</v>
      </c>
      <c r="D8" s="5">
        <v>30</v>
      </c>
      <c r="E8" s="3">
        <v>5</v>
      </c>
      <c r="F8" s="3" t="s">
        <v>50</v>
      </c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 ht="15.75" customHeight="1" x14ac:dyDescent="0.25">
      <c r="A9" s="6" t="s">
        <v>68</v>
      </c>
      <c r="B9" s="7" t="s">
        <v>69</v>
      </c>
      <c r="C9" s="6" t="s">
        <v>70</v>
      </c>
      <c r="D9" s="8">
        <v>90</v>
      </c>
      <c r="E9" s="6">
        <v>35</v>
      </c>
      <c r="F9" s="6" t="s">
        <v>54</v>
      </c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15.75" customHeight="1" x14ac:dyDescent="0.25">
      <c r="A10" s="3" t="s">
        <v>71</v>
      </c>
      <c r="B10" s="4" t="s">
        <v>72</v>
      </c>
      <c r="C10" s="3" t="s">
        <v>73</v>
      </c>
      <c r="D10" s="5">
        <v>500</v>
      </c>
      <c r="E10" s="3">
        <v>50</v>
      </c>
      <c r="F10" s="3" t="s">
        <v>46</v>
      </c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 ht="15.75" customHeight="1" x14ac:dyDescent="0.25">
      <c r="A11" s="6" t="s">
        <v>74</v>
      </c>
      <c r="B11" s="7" t="s">
        <v>75</v>
      </c>
      <c r="C11" s="6" t="s">
        <v>76</v>
      </c>
      <c r="D11" s="8">
        <v>130</v>
      </c>
      <c r="E11" s="6">
        <v>10</v>
      </c>
      <c r="F11" s="6" t="s">
        <v>77</v>
      </c>
      <c r="G11" s="6"/>
      <c r="H11" s="6"/>
      <c r="I11" s="6"/>
      <c r="J11" s="6"/>
      <c r="K11" s="6"/>
      <c r="L11" s="6"/>
      <c r="M11" s="6"/>
      <c r="N11" s="6"/>
      <c r="O11" s="6"/>
      <c r="P11" s="6"/>
    </row>
    <row r="12" spans="1:16" ht="15.75" customHeight="1" x14ac:dyDescent="0.25">
      <c r="A12" s="3" t="s">
        <v>78</v>
      </c>
      <c r="B12" s="4" t="s">
        <v>79</v>
      </c>
      <c r="C12" s="3" t="s">
        <v>80</v>
      </c>
      <c r="D12" s="5">
        <v>950</v>
      </c>
      <c r="E12" s="3">
        <v>25</v>
      </c>
      <c r="F12" s="3" t="s">
        <v>46</v>
      </c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ht="15.75" customHeight="1" x14ac:dyDescent="0.25">
      <c r="A13" s="6" t="s">
        <v>81</v>
      </c>
      <c r="B13" s="7" t="s">
        <v>48</v>
      </c>
      <c r="C13" s="6" t="s">
        <v>67</v>
      </c>
      <c r="D13" s="8">
        <v>90</v>
      </c>
      <c r="E13" s="6">
        <v>40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spans="1:16" ht="15.75" customHeight="1" x14ac:dyDescent="0.25">
      <c r="A14" s="3" t="s">
        <v>82</v>
      </c>
      <c r="B14" s="4" t="s">
        <v>52</v>
      </c>
      <c r="C14" s="3" t="s">
        <v>83</v>
      </c>
      <c r="D14" s="5">
        <v>120</v>
      </c>
      <c r="E14" s="3">
        <v>35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 ht="15.75" customHeight="1" x14ac:dyDescent="0.25">
      <c r="A15" s="6" t="s">
        <v>84</v>
      </c>
      <c r="B15" s="7" t="s">
        <v>85</v>
      </c>
      <c r="C15" s="6" t="s">
        <v>86</v>
      </c>
      <c r="D15" s="8">
        <v>150</v>
      </c>
      <c r="E15" s="6">
        <v>15</v>
      </c>
      <c r="F15" s="6" t="s">
        <v>64</v>
      </c>
      <c r="G15" s="6"/>
      <c r="H15" s="6"/>
      <c r="I15" s="6"/>
      <c r="J15" s="6"/>
      <c r="K15" s="6"/>
      <c r="L15" s="6"/>
      <c r="M15" s="6"/>
      <c r="N15" s="6"/>
      <c r="O15" s="6"/>
      <c r="P15" s="6"/>
    </row>
    <row r="16" spans="1:16" ht="15.75" customHeight="1" x14ac:dyDescent="0.25">
      <c r="A16" s="3" t="s">
        <v>87</v>
      </c>
      <c r="B16" s="4" t="s">
        <v>88</v>
      </c>
      <c r="C16" s="3" t="s">
        <v>89</v>
      </c>
      <c r="D16" s="5">
        <v>250</v>
      </c>
      <c r="E16" s="3">
        <v>20</v>
      </c>
      <c r="F16" s="3" t="s">
        <v>64</v>
      </c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ht="15.75" customHeight="1" x14ac:dyDescent="0.25">
      <c r="A17" s="6" t="s">
        <v>90</v>
      </c>
      <c r="B17" s="7" t="s">
        <v>91</v>
      </c>
      <c r="C17" s="6" t="s">
        <v>92</v>
      </c>
      <c r="D17" s="8">
        <v>50</v>
      </c>
      <c r="E17" s="6">
        <v>35</v>
      </c>
      <c r="F17" s="6" t="s">
        <v>93</v>
      </c>
      <c r="G17" s="6"/>
      <c r="H17" s="6"/>
      <c r="I17" s="6"/>
      <c r="J17" s="6"/>
      <c r="K17" s="6"/>
      <c r="L17" s="6"/>
      <c r="M17" s="6"/>
      <c r="N17" s="6"/>
      <c r="O17" s="6"/>
      <c r="P17" s="6"/>
    </row>
    <row r="18" spans="1:16" ht="15.75" customHeight="1" x14ac:dyDescent="0.25">
      <c r="A18" s="3" t="s">
        <v>94</v>
      </c>
      <c r="B18" s="4" t="s">
        <v>85</v>
      </c>
      <c r="C18" s="3" t="s">
        <v>95</v>
      </c>
      <c r="D18" s="5">
        <v>160</v>
      </c>
      <c r="E18" s="3">
        <v>15</v>
      </c>
      <c r="F18" s="3" t="s">
        <v>64</v>
      </c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ht="15.75" customHeight="1" x14ac:dyDescent="0.25">
      <c r="A19" s="6" t="s">
        <v>96</v>
      </c>
      <c r="B19" s="7" t="s">
        <v>44</v>
      </c>
      <c r="C19" s="6" t="s">
        <v>97</v>
      </c>
      <c r="D19" s="8">
        <v>980</v>
      </c>
      <c r="E19" s="6">
        <v>10</v>
      </c>
      <c r="F19" s="6" t="s">
        <v>46</v>
      </c>
      <c r="G19" s="6"/>
      <c r="H19" s="6"/>
      <c r="I19" s="6"/>
      <c r="J19" s="6"/>
      <c r="K19" s="6"/>
      <c r="L19" s="6"/>
      <c r="M19" s="6"/>
      <c r="N19" s="6"/>
      <c r="O19" s="6"/>
      <c r="P19" s="6"/>
    </row>
    <row r="20" spans="1:16" ht="15.75" customHeight="1" x14ac:dyDescent="0.25">
      <c r="A20" s="3" t="s">
        <v>98</v>
      </c>
      <c r="B20" s="4" t="s">
        <v>99</v>
      </c>
      <c r="C20" s="3" t="s">
        <v>100</v>
      </c>
      <c r="D20" s="5">
        <v>150</v>
      </c>
      <c r="E20" s="3">
        <v>15</v>
      </c>
      <c r="F20" s="3" t="s">
        <v>50</v>
      </c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ht="15.75" customHeight="1" x14ac:dyDescent="0.25">
      <c r="A21" s="6" t="s">
        <v>101</v>
      </c>
      <c r="B21" s="7" t="s">
        <v>102</v>
      </c>
      <c r="C21" s="6" t="s">
        <v>103</v>
      </c>
      <c r="D21" s="6"/>
      <c r="E21" s="6">
        <v>10</v>
      </c>
      <c r="F21" s="6" t="s">
        <v>77</v>
      </c>
      <c r="G21" s="6"/>
      <c r="H21" s="6"/>
      <c r="I21" s="6"/>
      <c r="J21" s="6"/>
      <c r="K21" s="6"/>
      <c r="L21" s="6"/>
      <c r="M21" s="6"/>
      <c r="N21" s="6"/>
      <c r="O21" s="6"/>
      <c r="P21" s="6"/>
    </row>
    <row r="22" spans="1:16" ht="15.75" customHeight="1" x14ac:dyDescent="0.25">
      <c r="A22" s="3" t="s">
        <v>104</v>
      </c>
      <c r="B22" s="4" t="s">
        <v>105</v>
      </c>
      <c r="C22" s="3" t="s">
        <v>106</v>
      </c>
      <c r="D22" s="5">
        <v>700</v>
      </c>
      <c r="E22" s="3">
        <v>50</v>
      </c>
      <c r="F22" s="3" t="s">
        <v>46</v>
      </c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ht="15.75" customHeight="1" x14ac:dyDescent="0.25">
      <c r="A23" s="6" t="s">
        <v>107</v>
      </c>
      <c r="B23" s="7" t="s">
        <v>108</v>
      </c>
      <c r="C23" s="6" t="s">
        <v>109</v>
      </c>
      <c r="D23" s="8">
        <v>80</v>
      </c>
      <c r="E23" s="6">
        <v>20</v>
      </c>
      <c r="F23" s="6" t="s">
        <v>54</v>
      </c>
      <c r="G23" s="6"/>
      <c r="H23" s="6"/>
      <c r="I23" s="6"/>
      <c r="J23" s="6"/>
      <c r="K23" s="6"/>
      <c r="L23" s="6"/>
      <c r="M23" s="6"/>
      <c r="N23" s="6"/>
      <c r="O23" s="6"/>
      <c r="P23" s="6"/>
    </row>
    <row r="24" spans="1:16" ht="15.75" customHeight="1" x14ac:dyDescent="0.25">
      <c r="A24" s="3" t="s">
        <v>110</v>
      </c>
      <c r="B24" s="4" t="s">
        <v>111</v>
      </c>
      <c r="C24" s="3" t="s">
        <v>112</v>
      </c>
      <c r="D24" s="5">
        <v>150</v>
      </c>
      <c r="E24" s="3">
        <v>30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ht="15.75" customHeight="1" x14ac:dyDescent="0.25">
      <c r="A25" s="6" t="s">
        <v>90</v>
      </c>
      <c r="B25" s="7" t="s">
        <v>91</v>
      </c>
      <c r="C25" s="6" t="s">
        <v>92</v>
      </c>
      <c r="D25" s="8">
        <v>50</v>
      </c>
      <c r="E25" s="6">
        <v>35</v>
      </c>
      <c r="F25" s="6" t="s">
        <v>93</v>
      </c>
      <c r="G25" s="6"/>
      <c r="H25" s="6"/>
      <c r="I25" s="6"/>
      <c r="J25" s="6"/>
      <c r="K25" s="6"/>
      <c r="L25" s="6"/>
      <c r="M25" s="6"/>
      <c r="N25" s="6"/>
      <c r="O25" s="6"/>
      <c r="P25" s="6"/>
    </row>
    <row r="26" spans="1:16" ht="15.75" customHeight="1" x14ac:dyDescent="0.25">
      <c r="A26" s="3" t="s">
        <v>113</v>
      </c>
      <c r="B26" s="4" t="s">
        <v>114</v>
      </c>
      <c r="C26" s="3" t="s">
        <v>115</v>
      </c>
      <c r="D26" s="5">
        <v>800</v>
      </c>
      <c r="E26" s="3">
        <v>45</v>
      </c>
      <c r="F26" s="3" t="s">
        <v>46</v>
      </c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 ht="15.75" customHeight="1" x14ac:dyDescent="0.25">
      <c r="A27" s="6" t="s">
        <v>116</v>
      </c>
      <c r="B27" s="7" t="s">
        <v>99</v>
      </c>
      <c r="C27" s="6" t="s">
        <v>117</v>
      </c>
      <c r="D27" s="6"/>
      <c r="E27" s="6">
        <v>25</v>
      </c>
      <c r="F27" s="6" t="s">
        <v>50</v>
      </c>
      <c r="G27" s="6"/>
      <c r="H27" s="6"/>
      <c r="I27" s="6"/>
      <c r="J27" s="6"/>
      <c r="K27" s="6"/>
      <c r="L27" s="6"/>
      <c r="M27" s="6"/>
      <c r="N27" s="6"/>
      <c r="O27" s="6"/>
      <c r="P27" s="6"/>
    </row>
    <row r="28" spans="1:16" ht="15.75" customHeight="1" x14ac:dyDescent="0.25">
      <c r="A28" s="3" t="s">
        <v>118</v>
      </c>
      <c r="B28" s="4" t="s">
        <v>69</v>
      </c>
      <c r="C28" s="3" t="s">
        <v>119</v>
      </c>
      <c r="D28" s="5">
        <v>400</v>
      </c>
      <c r="E28" s="3">
        <v>40</v>
      </c>
      <c r="F28" s="3" t="s">
        <v>54</v>
      </c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 ht="15.75" customHeight="1" x14ac:dyDescent="0.25">
      <c r="A29" s="6" t="s">
        <v>87</v>
      </c>
      <c r="B29" s="7" t="s">
        <v>88</v>
      </c>
      <c r="C29" s="6" t="s">
        <v>89</v>
      </c>
      <c r="D29" s="8">
        <v>250</v>
      </c>
      <c r="E29" s="6">
        <v>20</v>
      </c>
      <c r="F29" s="6" t="s">
        <v>64</v>
      </c>
      <c r="G29" s="6"/>
      <c r="H29" s="6"/>
      <c r="I29" s="6"/>
      <c r="J29" s="6"/>
      <c r="K29" s="6"/>
      <c r="L29" s="6"/>
      <c r="M29" s="6"/>
      <c r="N29" s="6"/>
      <c r="O29" s="6"/>
      <c r="P29" s="6"/>
    </row>
    <row r="30" spans="1:16" ht="15.75" customHeight="1" x14ac:dyDescent="0.25">
      <c r="A30" s="3" t="s">
        <v>120</v>
      </c>
      <c r="B30" s="4" t="s">
        <v>121</v>
      </c>
      <c r="C30" s="3" t="s">
        <v>122</v>
      </c>
      <c r="D30" s="5">
        <v>60</v>
      </c>
      <c r="E30" s="3">
        <v>30</v>
      </c>
      <c r="F30" s="3" t="s">
        <v>50</v>
      </c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5.75" customHeight="1" x14ac:dyDescent="0.25">
      <c r="A31" s="6" t="s">
        <v>123</v>
      </c>
      <c r="B31" s="7" t="s">
        <v>124</v>
      </c>
      <c r="C31" s="6" t="s">
        <v>125</v>
      </c>
      <c r="D31" s="8">
        <v>40</v>
      </c>
      <c r="E31" s="6">
        <v>10</v>
      </c>
      <c r="F31" s="6" t="s">
        <v>54</v>
      </c>
      <c r="G31" s="6"/>
      <c r="H31" s="6"/>
      <c r="I31" s="6"/>
      <c r="J31" s="6"/>
      <c r="K31" s="6"/>
      <c r="L31" s="6"/>
      <c r="M31" s="6"/>
      <c r="N31" s="6"/>
      <c r="O31" s="6"/>
      <c r="P31" s="6"/>
    </row>
    <row r="32" spans="1:16" ht="15.75" customHeight="1" x14ac:dyDescent="0.25">
      <c r="A32" s="3" t="s">
        <v>126</v>
      </c>
      <c r="B32" s="4" t="s">
        <v>111</v>
      </c>
      <c r="C32" s="3" t="s">
        <v>127</v>
      </c>
      <c r="D32" s="5">
        <v>130</v>
      </c>
      <c r="E32" s="3">
        <v>5</v>
      </c>
      <c r="F32" s="3" t="s">
        <v>46</v>
      </c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 ht="15.75" customHeight="1" x14ac:dyDescent="0.25">
      <c r="A33" s="6" t="s">
        <v>128</v>
      </c>
      <c r="B33" s="7" t="s">
        <v>129</v>
      </c>
      <c r="C33" s="6" t="s">
        <v>130</v>
      </c>
      <c r="D33" s="8">
        <v>50</v>
      </c>
      <c r="E33" s="6">
        <v>50</v>
      </c>
      <c r="F33" s="6" t="s">
        <v>50</v>
      </c>
      <c r="G33" s="6"/>
      <c r="H33" s="6"/>
      <c r="I33" s="6"/>
      <c r="J33" s="6"/>
      <c r="K33" s="6"/>
      <c r="L33" s="6"/>
      <c r="M33" s="6"/>
      <c r="N33" s="6"/>
      <c r="O33" s="6"/>
      <c r="P33" s="6"/>
    </row>
    <row r="34" spans="1:16" ht="15.75" customHeight="1" x14ac:dyDescent="0.25">
      <c r="A34" s="3" t="s">
        <v>78</v>
      </c>
      <c r="B34" s="4" t="s">
        <v>79</v>
      </c>
      <c r="C34" s="3" t="s">
        <v>80</v>
      </c>
      <c r="D34" s="5">
        <v>950</v>
      </c>
      <c r="E34" s="3">
        <v>25</v>
      </c>
      <c r="F34" s="3" t="s">
        <v>46</v>
      </c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 ht="15.75" customHeight="1" x14ac:dyDescent="0.25">
      <c r="A35" s="6" t="s">
        <v>131</v>
      </c>
      <c r="B35" s="7" t="s">
        <v>132</v>
      </c>
      <c r="C35" s="6" t="s">
        <v>133</v>
      </c>
      <c r="D35" s="8">
        <v>100</v>
      </c>
      <c r="E35" s="6">
        <v>20</v>
      </c>
      <c r="F35" s="6" t="s">
        <v>93</v>
      </c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ht="15.75" customHeight="1" x14ac:dyDescent="0.25"/>
    <row r="37" spans="1:16" ht="15.75" customHeight="1" x14ac:dyDescent="0.25"/>
    <row r="38" spans="1:16" ht="15.75" customHeight="1" x14ac:dyDescent="0.25"/>
    <row r="39" spans="1:16" ht="15.75" customHeight="1" x14ac:dyDescent="0.25"/>
    <row r="40" spans="1:16" ht="15.75" customHeight="1" x14ac:dyDescent="0.25"/>
    <row r="41" spans="1:16" ht="15.75" customHeight="1" x14ac:dyDescent="0.25"/>
    <row r="42" spans="1:16" ht="15.75" customHeight="1" x14ac:dyDescent="0.25"/>
    <row r="43" spans="1:16" ht="15.75" customHeight="1" x14ac:dyDescent="0.25"/>
    <row r="44" spans="1:16" ht="15.75" customHeight="1" x14ac:dyDescent="0.25"/>
    <row r="45" spans="1:16" ht="15.75" customHeight="1" x14ac:dyDescent="0.25"/>
    <row r="46" spans="1:16" ht="15.75" customHeight="1" x14ac:dyDescent="0.25"/>
    <row r="47" spans="1:16" ht="15.75" customHeight="1" x14ac:dyDescent="0.25"/>
    <row r="48" spans="1:1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conditionalFormatting sqref="A2:F35">
    <cfRule type="expression" dxfId="6" priority="4">
      <formula>COUNTIFS($A$2:$A$35,$A2,$B$2:$B$35,$B2,$C$2:$C$35,$C2)&gt;1</formula>
    </cfRule>
  </conditionalFormatting>
  <conditionalFormatting sqref="D2:D35">
    <cfRule type="expression" dxfId="5" priority="2">
      <formula>D2=""</formula>
    </cfRule>
  </conditionalFormatting>
  <conditionalFormatting sqref="F2:F35">
    <cfRule type="expression" dxfId="4" priority="3">
      <formula>F2=""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B6ED-8BA8-47FC-A741-94F3CF9D2041}">
  <dimension ref="A1:I22"/>
  <sheetViews>
    <sheetView tabSelected="1" workbookViewId="0">
      <selection activeCell="J1" sqref="J1:S1048576"/>
    </sheetView>
  </sheetViews>
  <sheetFormatPr defaultRowHeight="13.2" x14ac:dyDescent="0.25"/>
  <cols>
    <col min="1" max="1" width="12.5546875" bestFit="1" customWidth="1"/>
    <col min="2" max="2" width="25.44140625" customWidth="1"/>
    <col min="3" max="3" width="15.77734375" customWidth="1"/>
    <col min="4" max="4" width="17.77734375" bestFit="1" customWidth="1"/>
    <col min="5" max="5" width="14" bestFit="1" customWidth="1"/>
    <col min="6" max="6" width="26.88671875" customWidth="1"/>
    <col min="7" max="7" width="10.5546875" bestFit="1" customWidth="1"/>
    <col min="8" max="8" width="10.6640625" bestFit="1" customWidth="1"/>
    <col min="9" max="9" width="14.21875" bestFit="1" customWidth="1"/>
  </cols>
  <sheetData>
    <row r="1" spans="1:9" x14ac:dyDescent="0.25">
      <c r="A1" t="s">
        <v>37</v>
      </c>
      <c r="B1" t="s">
        <v>279</v>
      </c>
      <c r="C1" t="s">
        <v>280</v>
      </c>
      <c r="D1" t="s">
        <v>38</v>
      </c>
      <c r="E1" t="s">
        <v>39</v>
      </c>
      <c r="F1" t="s">
        <v>281</v>
      </c>
      <c r="G1" t="s">
        <v>40</v>
      </c>
      <c r="H1" t="s">
        <v>41</v>
      </c>
      <c r="I1" s="10" t="s">
        <v>42</v>
      </c>
    </row>
    <row r="2" spans="1:9" x14ac:dyDescent="0.25">
      <c r="A2" t="s">
        <v>43</v>
      </c>
      <c r="B2" t="str">
        <f>LEFT(Product_Inventory_Data_1[[#This Row],[Product ID]],6)</f>
        <v>28-JAN</v>
      </c>
      <c r="C2" t="str">
        <f>RIGHT(Product_Inventory_Data_1[[#This Row],[Product ID]],2)</f>
        <v>US</v>
      </c>
      <c r="D2" t="s">
        <v>208</v>
      </c>
      <c r="E2" t="s">
        <v>209</v>
      </c>
      <c r="F2" t="str">
        <f>TRIM(Product_Inventory_Data_1[[#This Row],[Product Name]]&amp;"  "&amp;Product_Inventory_Data_1[[#This Row],[Brand Name]])</f>
        <v>LAPTOP DELL</v>
      </c>
      <c r="G2" s="9">
        <v>1000</v>
      </c>
      <c r="H2">
        <v>30</v>
      </c>
      <c r="I2" t="s">
        <v>210</v>
      </c>
    </row>
    <row r="3" spans="1:9" x14ac:dyDescent="0.25">
      <c r="A3" t="s">
        <v>47</v>
      </c>
      <c r="B3" t="str">
        <f>LEFT(Product_Inventory_Data_1[[#This Row],[Product ID]],6)</f>
        <v>15-FEB</v>
      </c>
      <c r="C3" t="str">
        <f>RIGHT(Product_Inventory_Data_1[[#This Row],[Product ID]],2)</f>
        <v>US</v>
      </c>
      <c r="D3" t="s">
        <v>211</v>
      </c>
      <c r="E3" t="s">
        <v>212</v>
      </c>
      <c r="F3" t="str">
        <f>TRIM(Product_Inventory_Data_1[[#This Row],[Product Name]]&amp;"  "&amp;Product_Inventory_Data_1[[#This Row],[Brand Name]])</f>
        <v>SNEAKERS NIKE</v>
      </c>
      <c r="G3" s="9">
        <v>80</v>
      </c>
      <c r="H3">
        <v>15</v>
      </c>
      <c r="I3" t="s">
        <v>213</v>
      </c>
    </row>
    <row r="4" spans="1:9" x14ac:dyDescent="0.25">
      <c r="A4" t="s">
        <v>51</v>
      </c>
      <c r="B4" t="str">
        <f>LEFT(Product_Inventory_Data_1[[#This Row],[Product ID]],6)</f>
        <v>03-MAR</v>
      </c>
      <c r="C4" t="str">
        <f>RIGHT(Product_Inventory_Data_1[[#This Row],[Product ID]],2)</f>
        <v>US</v>
      </c>
      <c r="D4" t="s">
        <v>214</v>
      </c>
      <c r="E4" t="s">
        <v>215</v>
      </c>
      <c r="F4" t="str">
        <f>TRIM(Product_Inventory_Data_1[[#This Row],[Product Name]]&amp;"  "&amp;Product_Inventory_Data_1[[#This Row],[Brand Name]])</f>
        <v>COFFEE MAKER KEURIG</v>
      </c>
      <c r="G4" s="9">
        <v>130</v>
      </c>
      <c r="H4">
        <v>40</v>
      </c>
      <c r="I4" t="s">
        <v>216</v>
      </c>
    </row>
    <row r="5" spans="1:9" x14ac:dyDescent="0.25">
      <c r="A5" t="s">
        <v>55</v>
      </c>
      <c r="B5" t="str">
        <f>LEFT(Product_Inventory_Data_1[[#This Row],[Product ID]],6)</f>
        <v>11-APR</v>
      </c>
      <c r="C5" t="str">
        <f>RIGHT(Product_Inventory_Data_1[[#This Row],[Product ID]],2)</f>
        <v>US</v>
      </c>
      <c r="D5" t="s">
        <v>217</v>
      </c>
      <c r="E5" t="s">
        <v>218</v>
      </c>
      <c r="F5" t="str">
        <f>TRIM(Product_Inventory_Data_1[[#This Row],[Product Name]]&amp;"  "&amp;Product_Inventory_Data_1[[#This Row],[Brand Name]])</f>
        <v>SMARTPHONE SAMSUNG</v>
      </c>
      <c r="G5" s="9">
        <v>900</v>
      </c>
      <c r="H5">
        <v>25</v>
      </c>
      <c r="I5" t="s">
        <v>210</v>
      </c>
    </row>
    <row r="6" spans="1:9" x14ac:dyDescent="0.25">
      <c r="A6" t="s">
        <v>58</v>
      </c>
      <c r="B6" t="str">
        <f>LEFT(Product_Inventory_Data_1[[#This Row],[Product ID]],6)</f>
        <v>22-MAY</v>
      </c>
      <c r="C6" t="str">
        <f>RIGHT(Product_Inventory_Data_1[[#This Row],[Product ID]],2)</f>
        <v>US</v>
      </c>
      <c r="D6" t="s">
        <v>219</v>
      </c>
      <c r="E6" t="s">
        <v>220</v>
      </c>
      <c r="F6" t="str">
        <f>TRIM(Product_Inventory_Data_1[[#This Row],[Product Name]]&amp;"  "&amp;Product_Inventory_Data_1[[#This Row],[Brand Name]])</f>
        <v>BACKPACK NORTH FACE</v>
      </c>
      <c r="G6" s="9">
        <v>70</v>
      </c>
      <c r="H6">
        <v>20</v>
      </c>
      <c r="I6" t="s">
        <v>278</v>
      </c>
    </row>
    <row r="7" spans="1:9" x14ac:dyDescent="0.25">
      <c r="A7" t="s">
        <v>61</v>
      </c>
      <c r="B7" t="str">
        <f>LEFT(Product_Inventory_Data_1[[#This Row],[Product ID]],6)</f>
        <v>07-JUN</v>
      </c>
      <c r="C7" t="str">
        <f>RIGHT(Product_Inventory_Data_1[[#This Row],[Product ID]],2)</f>
        <v>UK</v>
      </c>
      <c r="D7" t="s">
        <v>221</v>
      </c>
      <c r="E7" t="s">
        <v>222</v>
      </c>
      <c r="F7" t="str">
        <f>TRIM(Product_Inventory_Data_1[[#This Row],[Product Name]]&amp;"  "&amp;Product_Inventory_Data_1[[#This Row],[Brand Name]])</f>
        <v>HEADPHONES SONY</v>
      </c>
      <c r="G7" s="9">
        <v>150</v>
      </c>
      <c r="H7">
        <v>45</v>
      </c>
      <c r="I7" t="s">
        <v>210</v>
      </c>
    </row>
    <row r="8" spans="1:9" x14ac:dyDescent="0.25">
      <c r="A8" t="s">
        <v>65</v>
      </c>
      <c r="B8" t="str">
        <f>LEFT(Product_Inventory_Data_1[[#This Row],[Product ID]],6)</f>
        <v>19-JUL</v>
      </c>
      <c r="C8" t="str">
        <f>RIGHT(Product_Inventory_Data_1[[#This Row],[Product ID]],2)</f>
        <v>UK</v>
      </c>
      <c r="D8" t="s">
        <v>223</v>
      </c>
      <c r="E8" t="s">
        <v>224</v>
      </c>
      <c r="F8" t="str">
        <f>TRIM(Product_Inventory_Data_1[[#This Row],[Product Name]]&amp;"  "&amp;Product_Inventory_Data_1[[#This Row],[Brand Name]])</f>
        <v>T-SHIRT ADIDAS</v>
      </c>
      <c r="G8" s="9">
        <v>30</v>
      </c>
      <c r="H8">
        <v>5</v>
      </c>
      <c r="I8" t="s">
        <v>213</v>
      </c>
    </row>
    <row r="9" spans="1:9" x14ac:dyDescent="0.25">
      <c r="A9" t="s">
        <v>68</v>
      </c>
      <c r="B9" t="str">
        <f>LEFT(Product_Inventory_Data_1[[#This Row],[Product ID]],6)</f>
        <v>23-AUG</v>
      </c>
      <c r="C9" t="str">
        <f>RIGHT(Product_Inventory_Data_1[[#This Row],[Product ID]],2)</f>
        <v>UK</v>
      </c>
      <c r="D9" t="s">
        <v>225</v>
      </c>
      <c r="E9" t="s">
        <v>226</v>
      </c>
      <c r="F9" t="str">
        <f>TRIM(Product_Inventory_Data_1[[#This Row],[Product Name]]&amp;"  "&amp;Product_Inventory_Data_1[[#This Row],[Brand Name]])</f>
        <v>BLENDER NINJA</v>
      </c>
      <c r="G9" s="9">
        <v>90</v>
      </c>
      <c r="H9">
        <v>35</v>
      </c>
      <c r="I9" t="s">
        <v>216</v>
      </c>
    </row>
    <row r="10" spans="1:9" x14ac:dyDescent="0.25">
      <c r="A10" t="s">
        <v>71</v>
      </c>
      <c r="B10" t="str">
        <f>LEFT(Product_Inventory_Data_1[[#This Row],[Product ID]],6)</f>
        <v>05-SEP</v>
      </c>
      <c r="C10" t="str">
        <f>RIGHT(Product_Inventory_Data_1[[#This Row],[Product ID]],2)</f>
        <v>UK</v>
      </c>
      <c r="D10" t="s">
        <v>227</v>
      </c>
      <c r="E10" t="s">
        <v>228</v>
      </c>
      <c r="F10" t="str">
        <f>TRIM(Product_Inventory_Data_1[[#This Row],[Product Name]]&amp;"  "&amp;Product_Inventory_Data_1[[#This Row],[Brand Name]])</f>
        <v>TABLET APPLE</v>
      </c>
      <c r="G10" s="9">
        <v>500</v>
      </c>
      <c r="H10">
        <v>50</v>
      </c>
      <c r="I10" t="s">
        <v>210</v>
      </c>
    </row>
    <row r="11" spans="1:9" x14ac:dyDescent="0.25">
      <c r="A11" t="s">
        <v>74</v>
      </c>
      <c r="B11" t="str">
        <f>LEFT(Product_Inventory_Data_1[[#This Row],[Product ID]],6)</f>
        <v>14-OCT</v>
      </c>
      <c r="C11" t="str">
        <f>RIGHT(Product_Inventory_Data_1[[#This Row],[Product ID]],2)</f>
        <v>UK</v>
      </c>
      <c r="D11" t="s">
        <v>229</v>
      </c>
      <c r="E11" t="s">
        <v>230</v>
      </c>
      <c r="F11" t="str">
        <f>TRIM(Product_Inventory_Data_1[[#This Row],[Product Name]]&amp;"  "&amp;Product_Inventory_Data_1[[#This Row],[Brand Name]])</f>
        <v>HIKING BOOTS TIMBERLAND</v>
      </c>
      <c r="G11" s="9">
        <v>130</v>
      </c>
      <c r="H11">
        <v>10</v>
      </c>
      <c r="I11" t="s">
        <v>231</v>
      </c>
    </row>
    <row r="12" spans="1:9" x14ac:dyDescent="0.25">
      <c r="A12" t="s">
        <v>84</v>
      </c>
      <c r="B12" t="str">
        <f>LEFT(Product_Inventory_Data_1[[#This Row],[Product ID]],6)</f>
        <v>18-FEB</v>
      </c>
      <c r="C12" t="str">
        <f>RIGHT(Product_Inventory_Data_1[[#This Row],[Product ID]],2)</f>
        <v>CA</v>
      </c>
      <c r="D12" t="s">
        <v>232</v>
      </c>
      <c r="E12" t="s">
        <v>233</v>
      </c>
      <c r="F12" t="str">
        <f>TRIM(Product_Inventory_Data_1[[#This Row],[Product Name]]&amp;"  "&amp;Product_Inventory_Data_1[[#This Row],[Brand Name]])</f>
        <v>SMARTWATCH FITBIT</v>
      </c>
      <c r="G12" s="9">
        <v>150</v>
      </c>
      <c r="H12">
        <v>15</v>
      </c>
      <c r="I12" t="s">
        <v>210</v>
      </c>
    </row>
    <row r="13" spans="1:9" x14ac:dyDescent="0.25">
      <c r="A13" t="s">
        <v>90</v>
      </c>
      <c r="B13" t="str">
        <f>LEFT(Product_Inventory_Data_1[[#This Row],[Product ID]],6)</f>
        <v>21-AUG</v>
      </c>
      <c r="C13" t="str">
        <f>RIGHT(Product_Inventory_Data_1[[#This Row],[Product ID]],2)</f>
        <v>CA</v>
      </c>
      <c r="D13" t="s">
        <v>234</v>
      </c>
      <c r="E13" t="s">
        <v>235</v>
      </c>
      <c r="F13" t="str">
        <f>TRIM(Product_Inventory_Data_1[[#This Row],[Product Name]]&amp;"  "&amp;Product_Inventory_Data_1[[#This Row],[Brand Name]])</f>
        <v>LAPTOP BAG SAMSONITE</v>
      </c>
      <c r="G13" s="9">
        <v>50</v>
      </c>
      <c r="H13">
        <v>35</v>
      </c>
      <c r="I13" t="s">
        <v>236</v>
      </c>
    </row>
    <row r="14" spans="1:9" x14ac:dyDescent="0.25">
      <c r="A14" t="s">
        <v>98</v>
      </c>
      <c r="B14" t="str">
        <f>LEFT(Product_Inventory_Data_1[[#This Row],[Product ID]],6)</f>
        <v>01-MAR</v>
      </c>
      <c r="C14" t="str">
        <f>RIGHT(Product_Inventory_Data_1[[#This Row],[Product ID]],2)</f>
        <v>UK</v>
      </c>
      <c r="D14" t="s">
        <v>237</v>
      </c>
      <c r="E14" t="s">
        <v>238</v>
      </c>
      <c r="F14" t="str">
        <f>TRIM(Product_Inventory_Data_1[[#This Row],[Product Name]]&amp;"  "&amp;Product_Inventory_Data_1[[#This Row],[Brand Name]])</f>
        <v>SUNGLASSES OAKLEY</v>
      </c>
      <c r="G14" s="9">
        <v>150</v>
      </c>
      <c r="H14">
        <v>15</v>
      </c>
      <c r="I14" t="s">
        <v>213</v>
      </c>
    </row>
    <row r="15" spans="1:9" x14ac:dyDescent="0.25">
      <c r="A15" t="s">
        <v>101</v>
      </c>
      <c r="B15" t="str">
        <f>LEFT(Product_Inventory_Data_1[[#This Row],[Product ID]],6)</f>
        <v>14-AUG</v>
      </c>
      <c r="C15" t="str">
        <f>RIGHT(Product_Inventory_Data_1[[#This Row],[Product ID]],2)</f>
        <v>US</v>
      </c>
      <c r="D15" t="s">
        <v>239</v>
      </c>
      <c r="E15" t="s">
        <v>240</v>
      </c>
      <c r="F15" t="str">
        <f>TRIM(Product_Inventory_Data_1[[#This Row],[Product Name]]&amp;"  "&amp;Product_Inventory_Data_1[[#This Row],[Brand Name]])</f>
        <v>CAMPING TENT COLEMAN</v>
      </c>
      <c r="G15" s="9">
        <v>150</v>
      </c>
      <c r="H15">
        <v>10</v>
      </c>
      <c r="I15" t="s">
        <v>231</v>
      </c>
    </row>
    <row r="16" spans="1:9" x14ac:dyDescent="0.25">
      <c r="A16" t="s">
        <v>104</v>
      </c>
      <c r="B16" t="str">
        <f>LEFT(Product_Inventory_Data_1[[#This Row],[Product ID]],6)</f>
        <v>14-MAY</v>
      </c>
      <c r="C16" t="str">
        <f>RIGHT(Product_Inventory_Data_1[[#This Row],[Product ID]],2)</f>
        <v>RU</v>
      </c>
      <c r="D16" t="s">
        <v>241</v>
      </c>
      <c r="E16" t="s">
        <v>242</v>
      </c>
      <c r="F16" t="str">
        <f>TRIM(Product_Inventory_Data_1[[#This Row],[Product Name]]&amp;"  "&amp;Product_Inventory_Data_1[[#This Row],[Brand Name]])</f>
        <v>CAMERA NIKON</v>
      </c>
      <c r="G16" s="9">
        <v>700</v>
      </c>
      <c r="H16">
        <v>50</v>
      </c>
      <c r="I16" t="s">
        <v>210</v>
      </c>
    </row>
    <row r="17" spans="1:9" x14ac:dyDescent="0.25">
      <c r="A17" t="s">
        <v>107</v>
      </c>
      <c r="B17" t="str">
        <f>LEFT(Product_Inventory_Data_1[[#This Row],[Product ID]],6)</f>
        <v>09-JAN</v>
      </c>
      <c r="C17" t="str">
        <f>RIGHT(Product_Inventory_Data_1[[#This Row],[Product ID]],2)</f>
        <v>CA</v>
      </c>
      <c r="D17" t="s">
        <v>243</v>
      </c>
      <c r="E17" t="s">
        <v>244</v>
      </c>
      <c r="F17" t="str">
        <f>TRIM(Product_Inventory_Data_1[[#This Row],[Product Name]]&amp;"  "&amp;Product_Inventory_Data_1[[#This Row],[Brand Name]])</f>
        <v>MICROWAVE PANASONIC</v>
      </c>
      <c r="G17" s="9">
        <v>80</v>
      </c>
      <c r="H17">
        <v>20</v>
      </c>
      <c r="I17" t="s">
        <v>216</v>
      </c>
    </row>
    <row r="18" spans="1:9" x14ac:dyDescent="0.25">
      <c r="A18" t="s">
        <v>110</v>
      </c>
      <c r="B18" t="str">
        <f>LEFT(Product_Inventory_Data_1[[#This Row],[Product ID]],6)</f>
        <v>19-JUL</v>
      </c>
      <c r="C18" t="str">
        <f>RIGHT(Product_Inventory_Data_1[[#This Row],[Product ID]],2)</f>
        <v>BR</v>
      </c>
      <c r="D18" t="s">
        <v>245</v>
      </c>
      <c r="E18" t="s">
        <v>246</v>
      </c>
      <c r="F18" t="str">
        <f>TRIM(Product_Inventory_Data_1[[#This Row],[Product Name]]&amp;"  "&amp;Product_Inventory_Data_1[[#This Row],[Brand Name]])</f>
        <v>FITNESS TRACKER XIAOMI</v>
      </c>
      <c r="G18" s="9">
        <v>150</v>
      </c>
      <c r="H18">
        <v>30</v>
      </c>
      <c r="I18" t="s">
        <v>210</v>
      </c>
    </row>
    <row r="19" spans="1:9" x14ac:dyDescent="0.25">
      <c r="A19" t="s">
        <v>120</v>
      </c>
      <c r="B19" t="str">
        <f>LEFT(Product_Inventory_Data_1[[#This Row],[Product ID]],6)</f>
        <v>07-MAR</v>
      </c>
      <c r="C19" t="str">
        <f>RIGHT(Product_Inventory_Data_1[[#This Row],[Product ID]],2)</f>
        <v>CA</v>
      </c>
      <c r="D19" t="s">
        <v>247</v>
      </c>
      <c r="E19" t="s">
        <v>248</v>
      </c>
      <c r="F19" t="str">
        <f>TRIM(Product_Inventory_Data_1[[#This Row],[Product Name]]&amp;"  "&amp;Product_Inventory_Data_1[[#This Row],[Brand Name]])</f>
        <v>DRESS ZARA</v>
      </c>
      <c r="G19" s="9">
        <v>60</v>
      </c>
      <c r="H19">
        <v>30</v>
      </c>
      <c r="I19" t="s">
        <v>213</v>
      </c>
    </row>
    <row r="20" spans="1:9" x14ac:dyDescent="0.25">
      <c r="A20" t="s">
        <v>123</v>
      </c>
      <c r="B20" t="str">
        <f>LEFT(Product_Inventory_Data_1[[#This Row],[Product ID]],6)</f>
        <v>13-APR</v>
      </c>
      <c r="C20" t="str">
        <f>RIGHT(Product_Inventory_Data_1[[#This Row],[Product ID]],2)</f>
        <v>CA</v>
      </c>
      <c r="D20" t="s">
        <v>249</v>
      </c>
      <c r="E20" t="s">
        <v>250</v>
      </c>
      <c r="F20" t="str">
        <f>TRIM(Product_Inventory_Data_1[[#This Row],[Product Name]]&amp;"  "&amp;Product_Inventory_Data_1[[#This Row],[Brand Name]])</f>
        <v>TOASTER HAMILTON</v>
      </c>
      <c r="G20" s="9">
        <v>40</v>
      </c>
      <c r="H20">
        <v>10</v>
      </c>
      <c r="I20" t="s">
        <v>216</v>
      </c>
    </row>
    <row r="21" spans="1:9" x14ac:dyDescent="0.25">
      <c r="A21" t="s">
        <v>128</v>
      </c>
      <c r="B21" t="str">
        <f>LEFT(Product_Inventory_Data_1[[#This Row],[Product ID]],6)</f>
        <v>02-DEC</v>
      </c>
      <c r="C21" t="str">
        <f>RIGHT(Product_Inventory_Data_1[[#This Row],[Product ID]],2)</f>
        <v>CA</v>
      </c>
      <c r="D21" t="s">
        <v>251</v>
      </c>
      <c r="E21" t="s">
        <v>252</v>
      </c>
      <c r="F21" t="str">
        <f>TRIM(Product_Inventory_Data_1[[#This Row],[Product Name]]&amp;"  "&amp;Product_Inventory_Data_1[[#This Row],[Brand Name]])</f>
        <v>JEANS LEVI'S</v>
      </c>
      <c r="G21" s="9">
        <v>50</v>
      </c>
      <c r="H21">
        <v>50</v>
      </c>
      <c r="I21" t="s">
        <v>213</v>
      </c>
    </row>
    <row r="22" spans="1:9" x14ac:dyDescent="0.25">
      <c r="A22" t="s">
        <v>131</v>
      </c>
      <c r="B22" t="str">
        <f>LEFT(Product_Inventory_Data_1[[#This Row],[Product ID]],6)</f>
        <v>09-JUL</v>
      </c>
      <c r="C22" t="str">
        <f>RIGHT(Product_Inventory_Data_1[[#This Row],[Product ID]],2)</f>
        <v>FR</v>
      </c>
      <c r="D22" t="s">
        <v>253</v>
      </c>
      <c r="E22" t="s">
        <v>254</v>
      </c>
      <c r="F22" t="str">
        <f>TRIM(Product_Inventory_Data_1[[#This Row],[Product Name]]&amp;"  "&amp;Product_Inventory_Data_1[[#This Row],[Brand Name]])</f>
        <v>WATCH CASIO</v>
      </c>
      <c r="G22" s="9">
        <v>100</v>
      </c>
      <c r="H22">
        <v>20</v>
      </c>
      <c r="I22" t="s">
        <v>236</v>
      </c>
    </row>
  </sheetData>
  <phoneticPr fontId="11" type="noConversion"/>
  <conditionalFormatting sqref="G2:G2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{1479D0C5-77E7-424B-AC7F-0ADB3349E809}</x14:id>
        </ext>
      </extLst>
    </cfRule>
  </conditionalFormatting>
  <conditionalFormatting sqref="I1:I1048576">
    <cfRule type="cellIs" dxfId="7" priority="1" operator="equal">
      <formula>"ELECTRONICS"</formula>
    </cfRule>
    <cfRule type="cellIs" priority="2" operator="equal">
      <formula>"ELECTRONICS"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79D0C5-77E7-424B-AC7F-0ADB3349E80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G2:G22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9F545-0960-4E85-8226-2C1E0C127D0B}">
  <dimension ref="A1:L21"/>
  <sheetViews>
    <sheetView topLeftCell="B1" workbookViewId="0">
      <selection activeCell="P18" sqref="P18"/>
    </sheetView>
  </sheetViews>
  <sheetFormatPr defaultRowHeight="13.2" x14ac:dyDescent="0.25"/>
  <cols>
    <col min="2" max="2" width="17.33203125" bestFit="1" customWidth="1"/>
    <col min="3" max="3" width="22.21875" bestFit="1" customWidth="1"/>
    <col min="4" max="4" width="10.44140625" bestFit="1" customWidth="1"/>
    <col min="5" max="5" width="11" bestFit="1" customWidth="1"/>
    <col min="6" max="6" width="9.88671875" bestFit="1" customWidth="1"/>
    <col min="7" max="7" width="17.44140625" bestFit="1" customWidth="1"/>
    <col min="8" max="9" width="17.44140625" customWidth="1"/>
    <col min="10" max="10" width="12.88671875" bestFit="1" customWidth="1"/>
    <col min="11" max="11" width="17.109375" bestFit="1" customWidth="1"/>
    <col min="12" max="12" width="14.44140625" customWidth="1"/>
  </cols>
  <sheetData>
    <row r="1" spans="1:12" x14ac:dyDescent="0.25">
      <c r="A1" t="s">
        <v>291</v>
      </c>
      <c r="B1" t="s">
        <v>134</v>
      </c>
      <c r="C1" t="s">
        <v>135</v>
      </c>
      <c r="D1" t="s">
        <v>292</v>
      </c>
      <c r="E1" t="s">
        <v>136</v>
      </c>
      <c r="F1" t="s">
        <v>293</v>
      </c>
      <c r="G1" t="s">
        <v>137</v>
      </c>
      <c r="H1" t="s">
        <v>296</v>
      </c>
      <c r="I1" t="s">
        <v>297</v>
      </c>
      <c r="J1" t="s">
        <v>138</v>
      </c>
      <c r="K1" t="s">
        <v>139</v>
      </c>
      <c r="L1" t="s">
        <v>298</v>
      </c>
    </row>
    <row r="2" spans="1:12" x14ac:dyDescent="0.25">
      <c r="A2" t="s">
        <v>140</v>
      </c>
      <c r="B2" t="s">
        <v>282</v>
      </c>
      <c r="C2" t="s">
        <v>141</v>
      </c>
      <c r="E2" t="s">
        <v>142</v>
      </c>
      <c r="F2" t="str">
        <f>IF(LEN(Customer_Orders_Data__[[#This Row],[Phone]])=10,"VALID","INVALID")</f>
        <v>VALID</v>
      </c>
      <c r="G2" t="s">
        <v>255</v>
      </c>
      <c r="H2" t="str">
        <f>TRIM(LEFT(Customer_Orders_Data__[[#This Row],[Location]],FIND("-",Customer_Orders_Data__[[#This Row],[Location]])-1))</f>
        <v>CHICAGO</v>
      </c>
      <c r="I2" t="str">
        <f>TRIM(RIGHT(Customer_Orders_Data__[[#This Row],[Location]],LEN(Customer_Orders_Data__[[#This Row],[Location]])-FIND("-",Customer_Orders_Data__[[#This Row],[Location]])))</f>
        <v>60601</v>
      </c>
      <c r="J2">
        <v>250</v>
      </c>
      <c r="K2" t="s">
        <v>148</v>
      </c>
      <c r="L2" t="str">
        <f>PROPER(TRIM(Customer_Orders_Data_[[#This Row],[Payment Status]]))</f>
        <v>Paid</v>
      </c>
    </row>
    <row r="3" spans="1:12" x14ac:dyDescent="0.25">
      <c r="A3" t="s">
        <v>143</v>
      </c>
      <c r="B3" t="s">
        <v>283</v>
      </c>
      <c r="C3" t="s">
        <v>256</v>
      </c>
      <c r="E3" t="s">
        <v>294</v>
      </c>
      <c r="F3" t="str">
        <f>IF(LEN(Customer_Orders_Data__[[#This Row],[Phone]])=10,"VALID","INVALID")</f>
        <v>VALID</v>
      </c>
      <c r="G3" t="s">
        <v>257</v>
      </c>
      <c r="H3" t="str">
        <f>TRIM(LEFT(Customer_Orders_Data__[[#This Row],[Location]],FIND("-",Customer_Orders_Data__[[#This Row],[Location]])-1))</f>
        <v>DENVER</v>
      </c>
      <c r="I3" t="str">
        <f>TRIM(RIGHT(Customer_Orders_Data__[[#This Row],[Location]],LEN(Customer_Orders_Data__[[#This Row],[Location]])-FIND("-",Customer_Orders_Data__[[#This Row],[Location]])))</f>
        <v>80202</v>
      </c>
      <c r="J3">
        <v>120</v>
      </c>
      <c r="K3" t="s">
        <v>166</v>
      </c>
      <c r="L3" t="str">
        <f>PROPER(TRIM(Customer_Orders_Data_[[#This Row],[Payment Status]]))</f>
        <v>Pending</v>
      </c>
    </row>
    <row r="4" spans="1:12" x14ac:dyDescent="0.25">
      <c r="A4" t="s">
        <v>145</v>
      </c>
      <c r="B4" t="s">
        <v>284</v>
      </c>
      <c r="C4" t="s">
        <v>146</v>
      </c>
      <c r="E4" t="s">
        <v>147</v>
      </c>
      <c r="F4" t="str">
        <f>IF(LEN(Customer_Orders_Data__[[#This Row],[Phone]])=10,"VALID","INVALID")</f>
        <v>VALID</v>
      </c>
      <c r="G4" t="s">
        <v>258</v>
      </c>
      <c r="H4" t="str">
        <f>TRIM(LEFT(Customer_Orders_Data__[[#This Row],[Location]],FIND("-",Customer_Orders_Data__[[#This Row],[Location]])-1))</f>
        <v>AUSTIN</v>
      </c>
      <c r="I4" t="str">
        <f>TRIM(RIGHT(Customer_Orders_Data__[[#This Row],[Location]],LEN(Customer_Orders_Data__[[#This Row],[Location]])-FIND("-",Customer_Orders_Data__[[#This Row],[Location]])))</f>
        <v>73301</v>
      </c>
      <c r="J4">
        <v>80.5</v>
      </c>
      <c r="K4" t="s">
        <v>148</v>
      </c>
      <c r="L4" t="str">
        <f>PROPER(TRIM(Customer_Orders_Data_[[#This Row],[Payment Status]]))</f>
        <v>Paid</v>
      </c>
    </row>
    <row r="5" spans="1:12" x14ac:dyDescent="0.25">
      <c r="A5" t="s">
        <v>149</v>
      </c>
      <c r="B5" t="s">
        <v>285</v>
      </c>
      <c r="C5" t="s">
        <v>150</v>
      </c>
      <c r="E5" t="s">
        <v>151</v>
      </c>
      <c r="F5" t="str">
        <f>IF(LEN(Customer_Orders_Data__[[#This Row],[Phone]])=10,"VALID","INVALID")</f>
        <v>INVALID</v>
      </c>
      <c r="G5" t="s">
        <v>259</v>
      </c>
      <c r="H5" t="str">
        <f>TRIM(LEFT(Customer_Orders_Data__[[#This Row],[Location]],FIND("-",Customer_Orders_Data__[[#This Row],[Location]])-1))</f>
        <v>MIAMI</v>
      </c>
      <c r="I5" t="str">
        <f>TRIM(RIGHT(Customer_Orders_Data__[[#This Row],[Location]],LEN(Customer_Orders_Data__[[#This Row],[Location]])-FIND("-",Customer_Orders_Data__[[#This Row],[Location]])))</f>
        <v>33101</v>
      </c>
      <c r="K5" t="s">
        <v>166</v>
      </c>
      <c r="L5" t="str">
        <f>PROPER(TRIM(Customer_Orders_Data_[[#This Row],[Payment Status]]))</f>
        <v>Pending</v>
      </c>
    </row>
    <row r="6" spans="1:12" x14ac:dyDescent="0.25">
      <c r="A6" t="s">
        <v>152</v>
      </c>
      <c r="B6" t="s">
        <v>153</v>
      </c>
      <c r="C6" t="s">
        <v>260</v>
      </c>
      <c r="E6" t="s">
        <v>154</v>
      </c>
      <c r="F6" t="str">
        <f>IF(LEN(Customer_Orders_Data__[[#This Row],[Phone]])=10,"VALID","INVALID")</f>
        <v>VALID</v>
      </c>
      <c r="G6" t="s">
        <v>261</v>
      </c>
      <c r="H6" t="str">
        <f>TRIM(LEFT(Customer_Orders_Data__[[#This Row],[Location]],FIND("-",Customer_Orders_Data__[[#This Row],[Location]])-1))</f>
        <v>SEATTLE</v>
      </c>
      <c r="I6" t="str">
        <f>TRIM(RIGHT(Customer_Orders_Data__[[#This Row],[Location]],LEN(Customer_Orders_Data__[[#This Row],[Location]])-FIND("-",Customer_Orders_Data__[[#This Row],[Location]])))</f>
        <v>98101</v>
      </c>
      <c r="J6">
        <v>340</v>
      </c>
      <c r="K6" t="s">
        <v>262</v>
      </c>
      <c r="L6" t="str">
        <f>PROPER(TRIM(Customer_Orders_Data_[[#This Row],[Payment Status]]))</f>
        <v>Failed</v>
      </c>
    </row>
    <row r="7" spans="1:12" x14ac:dyDescent="0.25">
      <c r="A7" t="s">
        <v>155</v>
      </c>
      <c r="B7" t="s">
        <v>286</v>
      </c>
      <c r="C7" t="s">
        <v>156</v>
      </c>
      <c r="E7" t="s">
        <v>157</v>
      </c>
      <c r="F7" t="str">
        <f>IF(LEN(Customer_Orders_Data__[[#This Row],[Phone]])=10,"VALID","INVALID")</f>
        <v>VALID</v>
      </c>
      <c r="G7" t="s">
        <v>263</v>
      </c>
      <c r="H7" t="str">
        <f>TRIM(LEFT(Customer_Orders_Data__[[#This Row],[Location]],FIND("-",Customer_Orders_Data__[[#This Row],[Location]])-1))</f>
        <v>BOSTON</v>
      </c>
      <c r="I7" t="str">
        <f>TRIM(RIGHT(Customer_Orders_Data__[[#This Row],[Location]],LEN(Customer_Orders_Data__[[#This Row],[Location]])-FIND("-",Customer_Orders_Data__[[#This Row],[Location]])))</f>
        <v>02108</v>
      </c>
      <c r="J7">
        <v>95</v>
      </c>
      <c r="K7" t="s">
        <v>148</v>
      </c>
      <c r="L7" t="str">
        <f>PROPER(TRIM(Customer_Orders_Data_[[#This Row],[Payment Status]]))</f>
        <v>Paid</v>
      </c>
    </row>
    <row r="8" spans="1:12" x14ac:dyDescent="0.25">
      <c r="A8" t="s">
        <v>158</v>
      </c>
      <c r="B8" t="s">
        <v>159</v>
      </c>
      <c r="C8" t="s">
        <v>160</v>
      </c>
      <c r="E8" t="s">
        <v>161</v>
      </c>
      <c r="F8" t="str">
        <f>IF(LEN(Customer_Orders_Data__[[#This Row],[Phone]])=10,"VALID","INVALID")</f>
        <v>VALID</v>
      </c>
      <c r="G8" t="s">
        <v>264</v>
      </c>
      <c r="H8" t="str">
        <f>TRIM(LEFT(Customer_Orders_Data__[[#This Row],[Location]],FIND("-",Customer_Orders_Data__[[#This Row],[Location]])-1))</f>
        <v>PHOENIX</v>
      </c>
      <c r="I8" t="str">
        <f>TRIM(RIGHT(Customer_Orders_Data__[[#This Row],[Location]],LEN(Customer_Orders_Data__[[#This Row],[Location]])-FIND("-",Customer_Orders_Data__[[#This Row],[Location]])))</f>
        <v>85001</v>
      </c>
      <c r="J8">
        <v>410</v>
      </c>
      <c r="K8" t="s">
        <v>148</v>
      </c>
      <c r="L8" t="str">
        <f>PROPER(TRIM(Customer_Orders_Data_[[#This Row],[Payment Status]]))</f>
        <v>Paid</v>
      </c>
    </row>
    <row r="9" spans="1:12" x14ac:dyDescent="0.25">
      <c r="A9" t="s">
        <v>162</v>
      </c>
      <c r="B9" t="s">
        <v>163</v>
      </c>
      <c r="C9" t="s">
        <v>164</v>
      </c>
      <c r="E9" t="s">
        <v>165</v>
      </c>
      <c r="F9" t="str">
        <f>IF(LEN(Customer_Orders_Data__[[#This Row],[Phone]])=10,"VALID","INVALID")</f>
        <v>VALID</v>
      </c>
      <c r="G9" t="s">
        <v>265</v>
      </c>
      <c r="H9" t="str">
        <f>TRIM(LEFT(Customer_Orders_Data__[[#This Row],[Location]],FIND("-",Customer_Orders_Data__[[#This Row],[Location]])-1))</f>
        <v>DALLAS</v>
      </c>
      <c r="I9" t="str">
        <f>TRIM(RIGHT(Customer_Orders_Data__[[#This Row],[Location]],LEN(Customer_Orders_Data__[[#This Row],[Location]])-FIND("-",Customer_Orders_Data__[[#This Row],[Location]])))</f>
        <v>75201</v>
      </c>
      <c r="J9">
        <v>60</v>
      </c>
      <c r="K9" t="s">
        <v>166</v>
      </c>
      <c r="L9" t="str">
        <f>PROPER(TRIM(Customer_Orders_Data_[[#This Row],[Payment Status]]))</f>
        <v>Pending</v>
      </c>
    </row>
    <row r="10" spans="1:12" x14ac:dyDescent="0.25">
      <c r="A10" t="s">
        <v>167</v>
      </c>
      <c r="B10" t="s">
        <v>287</v>
      </c>
      <c r="C10" t="s">
        <v>168</v>
      </c>
      <c r="E10" t="s">
        <v>169</v>
      </c>
      <c r="F10" t="str">
        <f>IF(LEN(Customer_Orders_Data__[[#This Row],[Phone]])=10,"VALID","INVALID")</f>
        <v>VALID</v>
      </c>
      <c r="G10" t="s">
        <v>266</v>
      </c>
      <c r="H10" t="str">
        <f>TRIM(LEFT(Customer_Orders_Data__[[#This Row],[Location]],FIND("-",Customer_Orders_Data__[[#This Row],[Location]])-1))</f>
        <v>PORTLAND</v>
      </c>
      <c r="I10" t="str">
        <f>TRIM(RIGHT(Customer_Orders_Data__[[#This Row],[Location]],LEN(Customer_Orders_Data__[[#This Row],[Location]])-FIND("-",Customer_Orders_Data__[[#This Row],[Location]])))</f>
        <v>97201</v>
      </c>
      <c r="J10">
        <v>180</v>
      </c>
      <c r="K10" t="s">
        <v>148</v>
      </c>
      <c r="L10" t="str">
        <f>PROPER(TRIM(Customer_Orders_Data_[[#This Row],[Payment Status]]))</f>
        <v>Paid</v>
      </c>
    </row>
    <row r="11" spans="1:12" x14ac:dyDescent="0.25">
      <c r="A11" t="s">
        <v>170</v>
      </c>
      <c r="B11" t="s">
        <v>283</v>
      </c>
      <c r="C11" t="s">
        <v>256</v>
      </c>
      <c r="E11" t="s">
        <v>171</v>
      </c>
      <c r="F11" t="str">
        <f>IF(LEN(Customer_Orders_Data__[[#This Row],[Phone]])=10,"VALID","INVALID")</f>
        <v>VALID</v>
      </c>
      <c r="G11" t="s">
        <v>257</v>
      </c>
      <c r="H11" t="str">
        <f>TRIM(LEFT(Customer_Orders_Data__[[#This Row],[Location]],FIND("-",Customer_Orders_Data__[[#This Row],[Location]])-1))</f>
        <v>DENVER</v>
      </c>
      <c r="I11" t="str">
        <f>TRIM(RIGHT(Customer_Orders_Data__[[#This Row],[Location]],LEN(Customer_Orders_Data__[[#This Row],[Location]])-FIND("-",Customer_Orders_Data__[[#This Row],[Location]])))</f>
        <v>80202</v>
      </c>
      <c r="J11">
        <v>120</v>
      </c>
      <c r="K11" t="s">
        <v>166</v>
      </c>
      <c r="L11" t="str">
        <f>PROPER(TRIM(Customer_Orders_Data_[[#This Row],[Payment Status]]))</f>
        <v>Pending</v>
      </c>
    </row>
    <row r="12" spans="1:12" x14ac:dyDescent="0.25">
      <c r="A12" t="s">
        <v>172</v>
      </c>
      <c r="B12" t="s">
        <v>173</v>
      </c>
      <c r="C12" t="s">
        <v>174</v>
      </c>
      <c r="E12" t="s">
        <v>175</v>
      </c>
      <c r="F12" t="str">
        <f>IF(LEN(Customer_Orders_Data__[[#This Row],[Phone]])=10,"VALID","INVALID")</f>
        <v>VALID</v>
      </c>
      <c r="G12" t="s">
        <v>267</v>
      </c>
      <c r="H12" t="str">
        <f>TRIM(LEFT(Customer_Orders_Data__[[#This Row],[Location]],FIND("-",Customer_Orders_Data__[[#This Row],[Location]])-1))</f>
        <v>ATLANTA</v>
      </c>
      <c r="I12" t="str">
        <f>TRIM(RIGHT(Customer_Orders_Data__[[#This Row],[Location]],LEN(Customer_Orders_Data__[[#This Row],[Location]])-FIND("-",Customer_Orders_Data__[[#This Row],[Location]])))</f>
        <v>30301</v>
      </c>
      <c r="J12">
        <v>0</v>
      </c>
      <c r="K12" t="s">
        <v>262</v>
      </c>
      <c r="L12" t="str">
        <f>PROPER(TRIM(Customer_Orders_Data_[[#This Row],[Payment Status]]))</f>
        <v>Failed</v>
      </c>
    </row>
    <row r="13" spans="1:12" x14ac:dyDescent="0.25">
      <c r="A13" t="s">
        <v>176</v>
      </c>
      <c r="B13" t="s">
        <v>177</v>
      </c>
      <c r="C13" t="s">
        <v>178</v>
      </c>
      <c r="E13" t="s">
        <v>179</v>
      </c>
      <c r="F13" t="str">
        <f>IF(LEN(Customer_Orders_Data__[[#This Row],[Phone]])=10,"VALID","INVALID")</f>
        <v>VALID</v>
      </c>
      <c r="G13" t="s">
        <v>268</v>
      </c>
      <c r="H13" t="str">
        <f>TRIM(LEFT(Customer_Orders_Data__[[#This Row],[Location]],FIND("-",Customer_Orders_Data__[[#This Row],[Location]])-1))</f>
        <v>HOUSTON</v>
      </c>
      <c r="I13" t="str">
        <f>TRIM(RIGHT(Customer_Orders_Data__[[#This Row],[Location]],LEN(Customer_Orders_Data__[[#This Row],[Location]])-FIND("-",Customer_Orders_Data__[[#This Row],[Location]])))</f>
        <v>77002</v>
      </c>
      <c r="J13">
        <v>275</v>
      </c>
      <c r="K13" t="s">
        <v>148</v>
      </c>
      <c r="L13" t="str">
        <f>PROPER(TRIM(Customer_Orders_Data_[[#This Row],[Payment Status]]))</f>
        <v>Paid</v>
      </c>
    </row>
    <row r="14" spans="1:12" x14ac:dyDescent="0.25">
      <c r="A14" t="s">
        <v>180</v>
      </c>
      <c r="B14" t="s">
        <v>288</v>
      </c>
      <c r="C14" t="s">
        <v>181</v>
      </c>
      <c r="E14" t="s">
        <v>182</v>
      </c>
      <c r="F14" t="str">
        <f>IF(LEN(Customer_Orders_Data__[[#This Row],[Phone]])=10,"VALID","INVALID")</f>
        <v>VALID</v>
      </c>
      <c r="G14" t="s">
        <v>269</v>
      </c>
      <c r="H14" t="str">
        <f>TRIM(LEFT(Customer_Orders_Data__[[#This Row],[Location]],FIND("-",Customer_Orders_Data__[[#This Row],[Location]])-1))</f>
        <v>SAN DIEGO</v>
      </c>
      <c r="I14" t="str">
        <f>TRIM(RIGHT(Customer_Orders_Data__[[#This Row],[Location]],LEN(Customer_Orders_Data__[[#This Row],[Location]])-FIND("-",Customer_Orders_Data__[[#This Row],[Location]])))</f>
        <v>92101</v>
      </c>
      <c r="J14">
        <v>150</v>
      </c>
      <c r="K14" t="s">
        <v>148</v>
      </c>
      <c r="L14" t="str">
        <f>PROPER(TRIM(Customer_Orders_Data_[[#This Row],[Payment Status]]))</f>
        <v>Paid</v>
      </c>
    </row>
    <row r="15" spans="1:12" x14ac:dyDescent="0.25">
      <c r="A15" t="s">
        <v>183</v>
      </c>
      <c r="B15" t="s">
        <v>184</v>
      </c>
      <c r="C15" t="s">
        <v>185</v>
      </c>
      <c r="E15" t="s">
        <v>295</v>
      </c>
      <c r="F15" t="str">
        <f>IF(LEN(Customer_Orders_Data__[[#This Row],[Phone]])=10,"VALID","INVALID")</f>
        <v>VALID</v>
      </c>
      <c r="G15" t="s">
        <v>270</v>
      </c>
      <c r="H15" t="str">
        <f>TRIM(LEFT(Customer_Orders_Data__[[#This Row],[Location]],FIND("-",Customer_Orders_Data__[[#This Row],[Location]])-1))</f>
        <v>ORLANDO</v>
      </c>
      <c r="I15" t="str">
        <f>TRIM(RIGHT(Customer_Orders_Data__[[#This Row],[Location]],LEN(Customer_Orders_Data__[[#This Row],[Location]])-FIND("-",Customer_Orders_Data__[[#This Row],[Location]])))</f>
        <v>32801</v>
      </c>
      <c r="J15">
        <v>95.5</v>
      </c>
      <c r="K15" t="s">
        <v>166</v>
      </c>
      <c r="L15" t="str">
        <f>PROPER(TRIM(Customer_Orders_Data_[[#This Row],[Payment Status]]))</f>
        <v>Pending</v>
      </c>
    </row>
    <row r="16" spans="1:12" x14ac:dyDescent="0.25">
      <c r="A16" t="s">
        <v>187</v>
      </c>
      <c r="B16" t="s">
        <v>188</v>
      </c>
      <c r="C16" t="s">
        <v>189</v>
      </c>
      <c r="E16" t="s">
        <v>190</v>
      </c>
      <c r="F16" t="str">
        <f>IF(LEN(Customer_Orders_Data__[[#This Row],[Phone]])=10,"VALID","INVALID")</f>
        <v>VALID</v>
      </c>
      <c r="G16" t="s">
        <v>271</v>
      </c>
      <c r="H16" t="str">
        <f>TRIM(LEFT(Customer_Orders_Data__[[#This Row],[Location]],FIND("-",Customer_Orders_Data__[[#This Row],[Location]])-1))</f>
        <v>DETROIT</v>
      </c>
      <c r="I16" t="str">
        <f>TRIM(RIGHT(Customer_Orders_Data__[[#This Row],[Location]],LEN(Customer_Orders_Data__[[#This Row],[Location]])-FIND("-",Customer_Orders_Data__[[#This Row],[Location]])))</f>
        <v>48201</v>
      </c>
      <c r="J16">
        <v>220</v>
      </c>
      <c r="K16" t="s">
        <v>262</v>
      </c>
      <c r="L16" t="str">
        <f>PROPER(TRIM(Customer_Orders_Data_[[#This Row],[Payment Status]]))</f>
        <v>Failed</v>
      </c>
    </row>
    <row r="17" spans="1:12" x14ac:dyDescent="0.25">
      <c r="A17" t="s">
        <v>191</v>
      </c>
      <c r="B17" t="s">
        <v>289</v>
      </c>
      <c r="C17" t="s">
        <v>192</v>
      </c>
      <c r="E17" t="s">
        <v>193</v>
      </c>
      <c r="F17" t="str">
        <f>IF(LEN(Customer_Orders_Data__[[#This Row],[Phone]])=10,"VALID","INVALID")</f>
        <v>VALID</v>
      </c>
      <c r="G17" t="s">
        <v>272</v>
      </c>
      <c r="H17" t="str">
        <f>TRIM(LEFT(Customer_Orders_Data__[[#This Row],[Location]],FIND("-",Customer_Orders_Data__[[#This Row],[Location]])-1))</f>
        <v>NASHVILLE</v>
      </c>
      <c r="I17" t="str">
        <f>TRIM(RIGHT(Customer_Orders_Data__[[#This Row],[Location]],LEN(Customer_Orders_Data__[[#This Row],[Location]])-FIND("-",Customer_Orders_Data__[[#This Row],[Location]])))</f>
        <v>37201</v>
      </c>
      <c r="J17">
        <v>130</v>
      </c>
      <c r="K17" t="s">
        <v>148</v>
      </c>
      <c r="L17" t="str">
        <f>PROPER(TRIM(Customer_Orders_Data_[[#This Row],[Payment Status]]))</f>
        <v>Paid</v>
      </c>
    </row>
    <row r="18" spans="1:12" x14ac:dyDescent="0.25">
      <c r="A18" t="s">
        <v>194</v>
      </c>
      <c r="B18" t="s">
        <v>290</v>
      </c>
      <c r="C18" t="s">
        <v>273</v>
      </c>
      <c r="E18" t="s">
        <v>195</v>
      </c>
      <c r="F18" t="str">
        <f>IF(LEN(Customer_Orders_Data__[[#This Row],[Phone]])=10,"VALID","INVALID")</f>
        <v>VALID</v>
      </c>
      <c r="G18" t="s">
        <v>274</v>
      </c>
      <c r="H18" t="str">
        <f>TRIM(LEFT(Customer_Orders_Data__[[#This Row],[Location]],FIND("-",Customer_Orders_Data__[[#This Row],[Location]])-1))</f>
        <v>CHARLOTTE</v>
      </c>
      <c r="I18" t="str">
        <f>TRIM(RIGHT(Customer_Orders_Data__[[#This Row],[Location]],LEN(Customer_Orders_Data__[[#This Row],[Location]])-FIND("-",Customer_Orders_Data__[[#This Row],[Location]])))</f>
        <v>28201</v>
      </c>
      <c r="J18">
        <v>0</v>
      </c>
      <c r="K18" t="s">
        <v>166</v>
      </c>
      <c r="L18" t="str">
        <f>PROPER(TRIM(Customer_Orders_Data_[[#This Row],[Payment Status]]))</f>
        <v>Pending</v>
      </c>
    </row>
    <row r="19" spans="1:12" x14ac:dyDescent="0.25">
      <c r="A19" t="s">
        <v>196</v>
      </c>
      <c r="B19" t="s">
        <v>197</v>
      </c>
      <c r="C19" t="s">
        <v>198</v>
      </c>
      <c r="E19" t="s">
        <v>199</v>
      </c>
      <c r="F19" t="str">
        <f>IF(LEN(Customer_Orders_Data__[[#This Row],[Phone]])=10,"VALID","INVALID")</f>
        <v>VALID</v>
      </c>
      <c r="G19" t="s">
        <v>275</v>
      </c>
      <c r="H19" t="str">
        <f>TRIM(LEFT(Customer_Orders_Data__[[#This Row],[Location]],FIND("-",Customer_Orders_Data__[[#This Row],[Location]])-1))</f>
        <v>COLUMBUS</v>
      </c>
      <c r="I19" t="str">
        <f>TRIM(RIGHT(Customer_Orders_Data__[[#This Row],[Location]],LEN(Customer_Orders_Data__[[#This Row],[Location]])-FIND("-",Customer_Orders_Data__[[#This Row],[Location]])))</f>
        <v>43085</v>
      </c>
      <c r="J19">
        <v>310</v>
      </c>
      <c r="K19" t="s">
        <v>148</v>
      </c>
      <c r="L19" t="str">
        <f>PROPER(TRIM(Customer_Orders_Data_[[#This Row],[Payment Status]]))</f>
        <v>Paid</v>
      </c>
    </row>
    <row r="20" spans="1:12" x14ac:dyDescent="0.25">
      <c r="A20" t="s">
        <v>200</v>
      </c>
      <c r="B20" t="s">
        <v>201</v>
      </c>
      <c r="C20" t="s">
        <v>202</v>
      </c>
      <c r="E20" t="s">
        <v>203</v>
      </c>
      <c r="F20" t="str">
        <f>IF(LEN(Customer_Orders_Data__[[#This Row],[Phone]])=10,"VALID","INVALID")</f>
        <v>VALID</v>
      </c>
      <c r="G20" t="s">
        <v>276</v>
      </c>
      <c r="H20" t="str">
        <f>TRIM(LEFT(Customer_Orders_Data__[[#This Row],[Location]],FIND("-",Customer_Orders_Data__[[#This Row],[Location]])-1))</f>
        <v>BALTIMORE</v>
      </c>
      <c r="I20" t="str">
        <f>TRIM(RIGHT(Customer_Orders_Data__[[#This Row],[Location]],LEN(Customer_Orders_Data__[[#This Row],[Location]])-FIND("-",Customer_Orders_Data__[[#This Row],[Location]])))</f>
        <v>21201</v>
      </c>
      <c r="J20">
        <v>75</v>
      </c>
      <c r="K20" t="s">
        <v>262</v>
      </c>
      <c r="L20" t="str">
        <f>PROPER(TRIM(Customer_Orders_Data_[[#This Row],[Payment Status]]))</f>
        <v>Failed</v>
      </c>
    </row>
    <row r="21" spans="1:12" x14ac:dyDescent="0.25">
      <c r="A21" t="s">
        <v>204</v>
      </c>
      <c r="B21" t="s">
        <v>205</v>
      </c>
      <c r="C21" t="s">
        <v>206</v>
      </c>
      <c r="E21" t="s">
        <v>207</v>
      </c>
      <c r="F21" t="str">
        <f>IF(LEN(Customer_Orders_Data__[[#This Row],[Phone]])=10,"VALID","INVALID")</f>
        <v>VALID</v>
      </c>
      <c r="G21" t="s">
        <v>277</v>
      </c>
      <c r="H21" t="str">
        <f>TRIM(LEFT(Customer_Orders_Data__[[#This Row],[Location]],FIND("-",Customer_Orders_Data__[[#This Row],[Location]])-1))</f>
        <v>MEMPHIS</v>
      </c>
      <c r="I21" t="str">
        <f>TRIM(RIGHT(Customer_Orders_Data__[[#This Row],[Location]],LEN(Customer_Orders_Data__[[#This Row],[Location]])-FIND("-",Customer_Orders_Data__[[#This Row],[Location]])))</f>
        <v>38101</v>
      </c>
      <c r="J21">
        <v>140</v>
      </c>
      <c r="K21" t="s">
        <v>148</v>
      </c>
      <c r="L21" t="str">
        <f>PROPER(TRIM(Customer_Orders_Data_[[#This Row],[Payment Status]]))</f>
        <v>Paid</v>
      </c>
    </row>
  </sheetData>
  <phoneticPr fontId="11" type="noConversion"/>
  <conditionalFormatting sqref="J1:J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:L1048576">
    <cfRule type="cellIs" dxfId="3" priority="1" operator="equal">
      <formula>"PENDING"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AC16-6FB7-4FE7-BCE9-BE5D9D148E97}">
  <dimension ref="A1:J21"/>
  <sheetViews>
    <sheetView topLeftCell="E1" workbookViewId="0">
      <selection activeCell="I1" sqref="I1"/>
    </sheetView>
  </sheetViews>
  <sheetFormatPr defaultRowHeight="13.2" x14ac:dyDescent="0.25"/>
  <cols>
    <col min="1" max="1" width="10.6640625" bestFit="1" customWidth="1"/>
    <col min="2" max="2" width="17.33203125" bestFit="1" customWidth="1"/>
    <col min="3" max="3" width="22.21875" bestFit="1" customWidth="1"/>
    <col min="4" max="4" width="12.33203125" bestFit="1" customWidth="1"/>
    <col min="5" max="5" width="17.44140625" bestFit="1" customWidth="1"/>
    <col min="6" max="6" width="17.44140625" customWidth="1"/>
    <col min="7" max="7" width="12.88671875" bestFit="1" customWidth="1"/>
    <col min="8" max="8" width="17.109375" bestFit="1" customWidth="1"/>
    <col min="9" max="9" width="12.33203125" customWidth="1"/>
    <col min="10" max="10" width="16" customWidth="1"/>
  </cols>
  <sheetData>
    <row r="1" spans="1:10" x14ac:dyDescent="0.25">
      <c r="A1" s="11" t="s">
        <v>291</v>
      </c>
      <c r="B1" t="s">
        <v>134</v>
      </c>
      <c r="C1" t="s">
        <v>135</v>
      </c>
      <c r="D1" s="11" t="s">
        <v>292</v>
      </c>
      <c r="E1" t="s">
        <v>136</v>
      </c>
      <c r="F1" s="11" t="s">
        <v>293</v>
      </c>
      <c r="G1" t="s">
        <v>137</v>
      </c>
      <c r="H1" t="s">
        <v>138</v>
      </c>
      <c r="I1" s="13" t="s">
        <v>139</v>
      </c>
      <c r="J1" t="s">
        <v>298</v>
      </c>
    </row>
    <row r="2" spans="1:10" x14ac:dyDescent="0.25">
      <c r="A2" t="s">
        <v>140</v>
      </c>
      <c r="B2" t="s">
        <v>282</v>
      </c>
      <c r="C2" t="s">
        <v>141</v>
      </c>
      <c r="D2" s="12" t="str">
        <f>IF(AND(COUNTIF(C2,"*@*")&gt;0,COUNTIF(C2,"*.com")&gt;0),"VALID","INVALID")</f>
        <v>VALID</v>
      </c>
      <c r="E2" t="s">
        <v>142</v>
      </c>
      <c r="G2" t="s">
        <v>255</v>
      </c>
      <c r="H2">
        <v>250</v>
      </c>
      <c r="I2" t="s">
        <v>148</v>
      </c>
      <c r="J2" t="str">
        <f>PROPER(TRIM(Customer_Orders_Data_[[#This Row],[Payment Status]]))</f>
        <v>Paid</v>
      </c>
    </row>
    <row r="3" spans="1:10" x14ac:dyDescent="0.25">
      <c r="A3" t="s">
        <v>143</v>
      </c>
      <c r="B3" t="s">
        <v>283</v>
      </c>
      <c r="C3" t="s">
        <v>256</v>
      </c>
      <c r="D3" s="12" t="str">
        <f t="shared" ref="D3:D21" si="0">IF(AND(COUNTIF(C3,"*@*")&gt;0,COUNTIF(C3,"*.com")&gt;0),"VALID","INVALID")</f>
        <v>VALID</v>
      </c>
      <c r="E3" t="s">
        <v>144</v>
      </c>
      <c r="G3" t="s">
        <v>257</v>
      </c>
      <c r="H3">
        <v>120</v>
      </c>
      <c r="I3" t="s">
        <v>166</v>
      </c>
      <c r="J3" t="str">
        <f>PROPER(TRIM(Customer_Orders_Data_[[#This Row],[Payment Status]]))</f>
        <v>Pending</v>
      </c>
    </row>
    <row r="4" spans="1:10" x14ac:dyDescent="0.25">
      <c r="A4" t="s">
        <v>145</v>
      </c>
      <c r="B4" t="s">
        <v>284</v>
      </c>
      <c r="C4" t="s">
        <v>146</v>
      </c>
      <c r="D4" s="12" t="str">
        <f t="shared" si="0"/>
        <v>INVALID</v>
      </c>
      <c r="E4" t="s">
        <v>147</v>
      </c>
      <c r="G4" t="s">
        <v>258</v>
      </c>
      <c r="H4">
        <v>80.5</v>
      </c>
      <c r="I4" t="s">
        <v>148</v>
      </c>
      <c r="J4" t="str">
        <f>PROPER(TRIM(Customer_Orders_Data_[[#This Row],[Payment Status]]))</f>
        <v>Paid</v>
      </c>
    </row>
    <row r="5" spans="1:10" x14ac:dyDescent="0.25">
      <c r="A5" t="s">
        <v>149</v>
      </c>
      <c r="B5" t="s">
        <v>285</v>
      </c>
      <c r="C5" t="s">
        <v>150</v>
      </c>
      <c r="D5" s="12" t="str">
        <f t="shared" si="0"/>
        <v>VALID</v>
      </c>
      <c r="E5" t="s">
        <v>151</v>
      </c>
      <c r="G5" t="s">
        <v>259</v>
      </c>
      <c r="H5">
        <v>0</v>
      </c>
      <c r="I5" t="s">
        <v>166</v>
      </c>
      <c r="J5" t="str">
        <f>PROPER(TRIM(Customer_Orders_Data_[[#This Row],[Payment Status]]))</f>
        <v>Pending</v>
      </c>
    </row>
    <row r="6" spans="1:10" x14ac:dyDescent="0.25">
      <c r="A6" t="s">
        <v>152</v>
      </c>
      <c r="B6" t="s">
        <v>153</v>
      </c>
      <c r="C6" t="s">
        <v>260</v>
      </c>
      <c r="D6" s="12" t="str">
        <f t="shared" si="0"/>
        <v>VALID</v>
      </c>
      <c r="E6" t="s">
        <v>154</v>
      </c>
      <c r="G6" t="s">
        <v>261</v>
      </c>
      <c r="H6">
        <v>340</v>
      </c>
      <c r="I6" t="s">
        <v>262</v>
      </c>
      <c r="J6" t="str">
        <f>PROPER(TRIM(Customer_Orders_Data_[[#This Row],[Payment Status]]))</f>
        <v>Failed</v>
      </c>
    </row>
    <row r="7" spans="1:10" x14ac:dyDescent="0.25">
      <c r="A7" t="s">
        <v>155</v>
      </c>
      <c r="B7" t="s">
        <v>286</v>
      </c>
      <c r="C7" t="s">
        <v>156</v>
      </c>
      <c r="D7" s="12" t="str">
        <f t="shared" si="0"/>
        <v>VALID</v>
      </c>
      <c r="E7" t="s">
        <v>157</v>
      </c>
      <c r="G7" t="s">
        <v>263</v>
      </c>
      <c r="H7">
        <v>95</v>
      </c>
      <c r="I7" t="s">
        <v>148</v>
      </c>
      <c r="J7" t="str">
        <f>PROPER(TRIM(Customer_Orders_Data_[[#This Row],[Payment Status]]))</f>
        <v>Paid</v>
      </c>
    </row>
    <row r="8" spans="1:10" x14ac:dyDescent="0.25">
      <c r="A8" t="s">
        <v>158</v>
      </c>
      <c r="B8" t="s">
        <v>159</v>
      </c>
      <c r="C8" t="s">
        <v>160</v>
      </c>
      <c r="D8" s="12" t="str">
        <f t="shared" si="0"/>
        <v>INVALID</v>
      </c>
      <c r="E8" t="s">
        <v>161</v>
      </c>
      <c r="G8" t="s">
        <v>264</v>
      </c>
      <c r="H8">
        <v>410</v>
      </c>
      <c r="I8" t="s">
        <v>148</v>
      </c>
      <c r="J8" t="str">
        <f>PROPER(TRIM(Customer_Orders_Data_[[#This Row],[Payment Status]]))</f>
        <v>Paid</v>
      </c>
    </row>
    <row r="9" spans="1:10" x14ac:dyDescent="0.25">
      <c r="A9" t="s">
        <v>162</v>
      </c>
      <c r="B9" t="s">
        <v>163</v>
      </c>
      <c r="C9" t="s">
        <v>164</v>
      </c>
      <c r="D9" s="12" t="str">
        <f t="shared" si="0"/>
        <v>VALID</v>
      </c>
      <c r="E9" t="s">
        <v>165</v>
      </c>
      <c r="G9" t="s">
        <v>265</v>
      </c>
      <c r="H9">
        <v>60</v>
      </c>
      <c r="I9" t="s">
        <v>166</v>
      </c>
      <c r="J9" t="str">
        <f>PROPER(TRIM(Customer_Orders_Data_[[#This Row],[Payment Status]]))</f>
        <v>Pending</v>
      </c>
    </row>
    <row r="10" spans="1:10" x14ac:dyDescent="0.25">
      <c r="A10" t="s">
        <v>167</v>
      </c>
      <c r="B10" t="s">
        <v>287</v>
      </c>
      <c r="C10" t="s">
        <v>168</v>
      </c>
      <c r="D10" s="12" t="str">
        <f t="shared" si="0"/>
        <v>VALID</v>
      </c>
      <c r="E10" t="s">
        <v>169</v>
      </c>
      <c r="G10" t="s">
        <v>266</v>
      </c>
      <c r="H10">
        <v>180</v>
      </c>
      <c r="I10" t="s">
        <v>148</v>
      </c>
      <c r="J10" t="str">
        <f>PROPER(TRIM(Customer_Orders_Data_[[#This Row],[Payment Status]]))</f>
        <v>Paid</v>
      </c>
    </row>
    <row r="11" spans="1:10" x14ac:dyDescent="0.25">
      <c r="A11" t="s">
        <v>170</v>
      </c>
      <c r="B11" t="s">
        <v>283</v>
      </c>
      <c r="C11" t="s">
        <v>256</v>
      </c>
      <c r="D11" s="12" t="str">
        <f t="shared" si="0"/>
        <v>VALID</v>
      </c>
      <c r="E11" t="s">
        <v>171</v>
      </c>
      <c r="G11" t="s">
        <v>257</v>
      </c>
      <c r="H11">
        <v>120</v>
      </c>
      <c r="I11" t="s">
        <v>166</v>
      </c>
      <c r="J11" t="str">
        <f>PROPER(TRIM(Customer_Orders_Data_[[#This Row],[Payment Status]]))</f>
        <v>Pending</v>
      </c>
    </row>
    <row r="12" spans="1:10" x14ac:dyDescent="0.25">
      <c r="A12" t="s">
        <v>172</v>
      </c>
      <c r="B12" t="s">
        <v>173</v>
      </c>
      <c r="C12" t="s">
        <v>174</v>
      </c>
      <c r="D12" s="12" t="str">
        <f t="shared" si="0"/>
        <v>VALID</v>
      </c>
      <c r="E12" t="s">
        <v>175</v>
      </c>
      <c r="G12" t="s">
        <v>267</v>
      </c>
      <c r="H12">
        <v>0</v>
      </c>
      <c r="I12" t="s">
        <v>262</v>
      </c>
      <c r="J12" t="str">
        <f>PROPER(TRIM(Customer_Orders_Data_[[#This Row],[Payment Status]]))</f>
        <v>Failed</v>
      </c>
    </row>
    <row r="13" spans="1:10" x14ac:dyDescent="0.25">
      <c r="A13" t="s">
        <v>176</v>
      </c>
      <c r="B13" t="s">
        <v>177</v>
      </c>
      <c r="C13" t="s">
        <v>178</v>
      </c>
      <c r="D13" s="12" t="str">
        <f t="shared" si="0"/>
        <v>VALID</v>
      </c>
      <c r="E13" t="s">
        <v>179</v>
      </c>
      <c r="G13" t="s">
        <v>268</v>
      </c>
      <c r="H13">
        <v>275</v>
      </c>
      <c r="I13" t="s">
        <v>148</v>
      </c>
      <c r="J13" t="str">
        <f>PROPER(TRIM(Customer_Orders_Data_[[#This Row],[Payment Status]]))</f>
        <v>Paid</v>
      </c>
    </row>
    <row r="14" spans="1:10" x14ac:dyDescent="0.25">
      <c r="A14" t="s">
        <v>180</v>
      </c>
      <c r="B14" t="s">
        <v>288</v>
      </c>
      <c r="C14" t="s">
        <v>181</v>
      </c>
      <c r="D14" s="12" t="str">
        <f t="shared" si="0"/>
        <v>INVALID</v>
      </c>
      <c r="E14" t="s">
        <v>182</v>
      </c>
      <c r="G14" t="s">
        <v>269</v>
      </c>
      <c r="H14">
        <v>150</v>
      </c>
      <c r="I14" t="s">
        <v>148</v>
      </c>
      <c r="J14" t="str">
        <f>PROPER(TRIM(Customer_Orders_Data_[[#This Row],[Payment Status]]))</f>
        <v>Paid</v>
      </c>
    </row>
    <row r="15" spans="1:10" x14ac:dyDescent="0.25">
      <c r="A15" t="s">
        <v>183</v>
      </c>
      <c r="B15" t="s">
        <v>184</v>
      </c>
      <c r="C15" t="s">
        <v>185</v>
      </c>
      <c r="D15" s="12" t="str">
        <f t="shared" si="0"/>
        <v>VALID</v>
      </c>
      <c r="E15" t="s">
        <v>186</v>
      </c>
      <c r="G15" t="s">
        <v>270</v>
      </c>
      <c r="H15">
        <v>95.5</v>
      </c>
      <c r="I15" t="s">
        <v>166</v>
      </c>
      <c r="J15" t="str">
        <f>PROPER(TRIM(Customer_Orders_Data_[[#This Row],[Payment Status]]))</f>
        <v>Pending</v>
      </c>
    </row>
    <row r="16" spans="1:10" x14ac:dyDescent="0.25">
      <c r="A16" t="s">
        <v>187</v>
      </c>
      <c r="B16" t="s">
        <v>188</v>
      </c>
      <c r="C16" t="s">
        <v>189</v>
      </c>
      <c r="D16" s="12" t="str">
        <f t="shared" si="0"/>
        <v>VALID</v>
      </c>
      <c r="E16" t="s">
        <v>190</v>
      </c>
      <c r="G16" t="s">
        <v>271</v>
      </c>
      <c r="H16">
        <v>220</v>
      </c>
      <c r="I16" t="s">
        <v>262</v>
      </c>
      <c r="J16" t="str">
        <f>PROPER(TRIM(Customer_Orders_Data_[[#This Row],[Payment Status]]))</f>
        <v>Failed</v>
      </c>
    </row>
    <row r="17" spans="1:10" x14ac:dyDescent="0.25">
      <c r="A17" t="s">
        <v>191</v>
      </c>
      <c r="B17" t="s">
        <v>289</v>
      </c>
      <c r="C17" t="s">
        <v>192</v>
      </c>
      <c r="D17" s="12" t="str">
        <f t="shared" si="0"/>
        <v>VALID</v>
      </c>
      <c r="E17" t="s">
        <v>193</v>
      </c>
      <c r="G17" t="s">
        <v>272</v>
      </c>
      <c r="H17">
        <v>130</v>
      </c>
      <c r="I17" t="s">
        <v>148</v>
      </c>
      <c r="J17" t="str">
        <f>PROPER(TRIM(Customer_Orders_Data_[[#This Row],[Payment Status]]))</f>
        <v>Paid</v>
      </c>
    </row>
    <row r="18" spans="1:10" x14ac:dyDescent="0.25">
      <c r="A18" t="s">
        <v>194</v>
      </c>
      <c r="B18" t="s">
        <v>290</v>
      </c>
      <c r="C18" t="s">
        <v>273</v>
      </c>
      <c r="D18" s="12" t="str">
        <f t="shared" si="0"/>
        <v>VALID</v>
      </c>
      <c r="E18" t="s">
        <v>195</v>
      </c>
      <c r="G18" t="s">
        <v>274</v>
      </c>
      <c r="H18">
        <v>0</v>
      </c>
      <c r="I18" t="s">
        <v>166</v>
      </c>
      <c r="J18" t="str">
        <f>PROPER(TRIM(Customer_Orders_Data_[[#This Row],[Payment Status]]))</f>
        <v>Pending</v>
      </c>
    </row>
    <row r="19" spans="1:10" x14ac:dyDescent="0.25">
      <c r="A19" t="s">
        <v>196</v>
      </c>
      <c r="B19" t="s">
        <v>197</v>
      </c>
      <c r="C19" t="s">
        <v>198</v>
      </c>
      <c r="D19" s="12" t="str">
        <f t="shared" si="0"/>
        <v>VALID</v>
      </c>
      <c r="E19" t="s">
        <v>199</v>
      </c>
      <c r="G19" t="s">
        <v>275</v>
      </c>
      <c r="H19">
        <v>310</v>
      </c>
      <c r="I19" t="s">
        <v>148</v>
      </c>
      <c r="J19" t="str">
        <f>PROPER(TRIM(Customer_Orders_Data_[[#This Row],[Payment Status]]))</f>
        <v>Paid</v>
      </c>
    </row>
    <row r="20" spans="1:10" x14ac:dyDescent="0.25">
      <c r="A20" t="s">
        <v>200</v>
      </c>
      <c r="B20" t="s">
        <v>201</v>
      </c>
      <c r="C20" t="s">
        <v>202</v>
      </c>
      <c r="D20" s="12" t="str">
        <f t="shared" si="0"/>
        <v>VALID</v>
      </c>
      <c r="E20" t="s">
        <v>203</v>
      </c>
      <c r="G20" t="s">
        <v>276</v>
      </c>
      <c r="H20">
        <v>75</v>
      </c>
      <c r="I20" t="s">
        <v>262</v>
      </c>
      <c r="J20" t="str">
        <f>PROPER(TRIM(Customer_Orders_Data_[[#This Row],[Payment Status]]))</f>
        <v>Failed</v>
      </c>
    </row>
    <row r="21" spans="1:10" x14ac:dyDescent="0.25">
      <c r="A21" t="s">
        <v>204</v>
      </c>
      <c r="B21" t="s">
        <v>205</v>
      </c>
      <c r="C21" t="s">
        <v>206</v>
      </c>
      <c r="D21" s="12" t="str">
        <f t="shared" si="0"/>
        <v>VALID</v>
      </c>
      <c r="E21" t="s">
        <v>207</v>
      </c>
      <c r="G21" t="s">
        <v>277</v>
      </c>
      <c r="H21">
        <v>140</v>
      </c>
      <c r="I21" t="s">
        <v>148</v>
      </c>
      <c r="J21" t="str">
        <f>PROPER(TRIM(Customer_Orders_Data_[[#This Row],[Payment Status]]))</f>
        <v>Paid</v>
      </c>
    </row>
  </sheetData>
  <conditionalFormatting sqref="I1">
    <cfRule type="containsText" dxfId="2" priority="1" operator="containsText" text="Payment Status">
      <formula>NOT(ISERROR(SEARCH("Payment Status",I1)))</formula>
    </cfRule>
  </conditionalFormatting>
  <conditionalFormatting sqref="I1:I1048576">
    <cfRule type="cellIs" dxfId="1" priority="2" operator="equal">
      <formula>"pending"</formula>
    </cfRule>
    <cfRule type="containsText" dxfId="0" priority="3" operator="containsText" text="Payment Status">
      <formula>NOT(ISERROR(SEARCH("Payment Status",I1)))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EF30CF-5069-4FD6-91EF-9944925691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Instructions</vt:lpstr>
      <vt:lpstr>Product Inventory Data</vt:lpstr>
      <vt:lpstr>Product_Inventory_Data</vt:lpstr>
      <vt:lpstr>Customer_Orders_Data_</vt:lpstr>
      <vt:lpstr>Customer_Orders_Data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Shimiriya P</cp:lastModifiedBy>
  <cp:revision>0</cp:revision>
  <dcterms:created xsi:type="dcterms:W3CDTF">2026-08-05T04:26:53Z</dcterms:created>
  <dcterms:modified xsi:type="dcterms:W3CDTF">2026-09-04T07:52:31Z</dcterms:modified>
  <dc:language>en-US</dc:language>
</cp:coreProperties>
</file>